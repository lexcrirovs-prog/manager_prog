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defaultThemeVersion="166925"/>
  <mc:AlternateContent xmlns:mc="http://schemas.openxmlformats.org/markup-compatibility/2006">
    <mc:Choice Requires="x15">
      <x15ac:absPath xmlns:x15ac="http://schemas.microsoft.com/office/spreadsheetml/2010/11/ac" url="C:\Users\rabo4\OneDrive\Рабочий стол\"/>
    </mc:Choice>
  </mc:AlternateContent>
  <xr:revisionPtr revIDLastSave="0" documentId="13_ncr:1_{B8334CF5-36D5-4BBC-8AEC-A527CA40AF3A}" xr6:coauthVersionLast="40" xr6:coauthVersionMax="40" xr10:uidLastSave="{00000000-0000-0000-0000-000000000000}"/>
  <bookViews>
    <workbookView xWindow="0" yWindow="0" windowWidth="17256" windowHeight="5544" xr2:uid="{DA0601E2-9D84-450D-A435-7F78F4499883}"/>
  </bookViews>
  <sheets>
    <sheet name="Отчеты 2026" sheetId="11" r:id="rId1"/>
    <sheet name="Отчеты 2025" sheetId="4" r:id="rId2"/>
    <sheet name="Самара застройщики" sheetId="5" r:id="rId3"/>
    <sheet name="Отчеты 2024 год" sheetId="1" r:id="rId4"/>
    <sheet name="по прошлым" sheetId="7" r:id="rId5"/>
    <sheet name="ДОГОВОР" sheetId="2" r:id="rId6"/>
    <sheet name="Подрядчики Ульяновск" sheetId="6" r:id="rId7"/>
    <sheet name="Лист1" sheetId="8" r:id="rId8"/>
    <sheet name="Лист2" sheetId="10" r:id="rId9"/>
  </sheets>
  <definedNames>
    <definedName name="_xlnm.Print_Area" localSheetId="5">ДОГОВОР!$A$1:$H$63</definedName>
    <definedName name="_xlnm.Print_Area" localSheetId="3">'Отчеты 2024 год'!$A$1:$F$744</definedName>
    <definedName name="_xlnm.Print_Area" localSheetId="4">'по прошлым'!$A$1:$H$10</definedName>
    <definedName name="_xlnm.Print_Area" localSheetId="2">'Самара застройщики'!$A$1:$H$24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38" i="4" l="1"/>
  <c r="E538" i="4"/>
  <c r="C538" i="4" l="1"/>
  <c r="A15" i="8"/>
  <c r="A16" i="8"/>
  <c r="A17" i="8"/>
  <c r="A18" i="8" s="1"/>
  <c r="A19" i="8" s="1"/>
  <c r="A20" i="8" s="1"/>
  <c r="A21" i="8" s="1"/>
  <c r="A22" i="8" s="1"/>
  <c r="A23" i="8" s="1"/>
  <c r="A24" i="8" s="1"/>
  <c r="A25" i="8" s="1"/>
  <c r="F466" i="4" l="1"/>
  <c r="A30" i="8" l="1"/>
  <c r="A31" i="8" s="1"/>
  <c r="A32" i="8" s="1"/>
  <c r="A33" i="8" s="1"/>
  <c r="A34" i="8" s="1"/>
  <c r="A35" i="8" s="1"/>
  <c r="A36" i="8" s="1"/>
  <c r="A37" i="8" s="1"/>
  <c r="A38" i="8" s="1"/>
  <c r="A39" i="8" s="1"/>
  <c r="A40" i="8" s="1"/>
  <c r="A41" i="8" s="1"/>
  <c r="A42" i="8" s="1"/>
  <c r="A43" i="8" s="1"/>
  <c r="A44" i="8" s="1"/>
  <c r="A45" i="8" s="1"/>
  <c r="A46" i="8" s="1"/>
  <c r="A47" i="8" s="1"/>
  <c r="A48" i="8" s="1"/>
  <c r="A49" i="8" s="1"/>
  <c r="A3" i="8"/>
  <c r="A4" i="8" s="1"/>
  <c r="A5" i="8" s="1"/>
  <c r="A6" i="8" s="1"/>
  <c r="A7" i="8" s="1"/>
  <c r="A8" i="8" s="1"/>
  <c r="A9" i="8" s="1"/>
  <c r="A10" i="8" s="1"/>
  <c r="A11" i="8" s="1"/>
  <c r="A12" i="8" s="1"/>
  <c r="A13" i="8" s="1"/>
  <c r="A14" i="8" s="1"/>
  <c r="D732" i="1" l="1"/>
  <c r="D721" i="1"/>
  <c r="H18" i="2"/>
  <c r="E524" i="1" l="1"/>
  <c r="A161" i="1" l="1"/>
  <c r="A162" i="1" s="1"/>
  <c r="A163" i="1" s="1"/>
  <c r="A164" i="1" s="1"/>
  <c r="A165" i="1" s="1"/>
  <c r="A166" i="1" s="1"/>
  <c r="A109" i="1" l="1"/>
  <c r="A110" i="1" s="1"/>
  <c r="A111" i="1" s="1"/>
  <c r="A112" i="1" s="1"/>
  <c r="A113" i="1" s="1"/>
  <c r="A114" i="1" s="1"/>
  <c r="A115" i="1" s="1"/>
  <c r="A116" i="1" s="1"/>
  <c r="A117" i="1" s="1"/>
  <c r="A118" i="1" s="1"/>
  <c r="A20" i="1" l="1"/>
  <c r="A21" i="1" s="1"/>
  <c r="A22" i="1" s="1"/>
  <c r="A23" i="1" s="1"/>
  <c r="A24" i="1" s="1"/>
  <c r="A25" i="1" s="1"/>
  <c r="A26" i="1" s="1"/>
  <c r="A27" i="1" s="1"/>
  <c r="A28" i="1" s="1"/>
  <c r="A8" i="1" l="1"/>
  <c r="A9" i="1" s="1"/>
  <c r="A10" i="1" s="1"/>
  <c r="A11" i="1" s="1"/>
  <c r="A12" i="1" s="1"/>
  <c r="A13" i="1" s="1"/>
  <c r="A14" i="1" s="1"/>
  <c r="A15" i="1" s="1"/>
  <c r="A16" i="1" s="1"/>
</calcChain>
</file>

<file path=xl/sharedStrings.xml><?xml version="1.0" encoding="utf-8"?>
<sst xmlns="http://schemas.openxmlformats.org/spreadsheetml/2006/main" count="3465" uniqueCount="2411">
  <si>
    <t>Наименование организации</t>
  </si>
  <si>
    <t>Количество</t>
  </si>
  <si>
    <t>Комментарий</t>
  </si>
  <si>
    <t xml:space="preserve">Дата </t>
  </si>
  <si>
    <t>PREMIUM-C 1300</t>
  </si>
  <si>
    <t>Цена</t>
  </si>
  <si>
    <t>скидка 20%</t>
  </si>
  <si>
    <t>8 Неделя года:  19-22 февраля 2024</t>
  </si>
  <si>
    <t>ООО Миг-Плюс</t>
  </si>
  <si>
    <t>Марка котла/товара</t>
  </si>
  <si>
    <t>15 тыс / 100 евро</t>
  </si>
  <si>
    <t>ООО ДОМФРИ</t>
  </si>
  <si>
    <t>PREMIUM-C 400 - 1 шт; PREMIUM-C 600 - 1 шт</t>
  </si>
  <si>
    <t xml:space="preserve"> скидка 25%</t>
  </si>
  <si>
    <t>ООО ГЛОБАЛГАЗ</t>
  </si>
  <si>
    <t>Кп автоматика, каскад PREMIUM-C 1000</t>
  </si>
  <si>
    <t>скидка 30%</t>
  </si>
  <si>
    <t>№ п/п</t>
  </si>
  <si>
    <t>кп автоматика, горелка для котла 1200</t>
  </si>
  <si>
    <t xml:space="preserve">Котел PREMIUM-C 1000 и горелки к нему </t>
  </si>
  <si>
    <t>ИП ПАРАМОНОВ/ООО РОТОР (ульяновск)</t>
  </si>
  <si>
    <t>ООО ГЗС ГРУПП</t>
  </si>
  <si>
    <t xml:space="preserve">Котел PREMIUM-E 5000 </t>
  </si>
  <si>
    <t>полная обвязка нужна</t>
  </si>
  <si>
    <t>АО РТИ Каучук</t>
  </si>
  <si>
    <t>2                                                    1</t>
  </si>
  <si>
    <t>Скидка 25%</t>
  </si>
  <si>
    <t>актуализация от 19 декабря 2023 года Исполнитель ООО МИГ ПЛЮС, Серпухов</t>
  </si>
  <si>
    <t>Котел PREMIUM-C 2500 Котел PREMIUM-C 1250</t>
  </si>
  <si>
    <t>ООО ЦЕНТРПРОЕКТ</t>
  </si>
  <si>
    <t>Котел PREMIUM-C 1500</t>
  </si>
  <si>
    <t>Прайс</t>
  </si>
  <si>
    <t>удалили автоматику</t>
  </si>
  <si>
    <t>Цена за ед</t>
  </si>
  <si>
    <t>АО «Газпромнефть МЗСМ»</t>
  </si>
  <si>
    <t>2                                    2</t>
  </si>
  <si>
    <t>Для выбора на тендерную процедуру</t>
  </si>
  <si>
    <t>ООО "Вавожское ЖКХ"</t>
  </si>
  <si>
    <t>Горелка для котла PREMIUM-C 500</t>
  </si>
  <si>
    <t>Они пока подбирают под газовые данные</t>
  </si>
  <si>
    <t>На контроле</t>
  </si>
  <si>
    <t>ООО ВM (Волгоград)</t>
  </si>
  <si>
    <t>ООО НГС энгельс</t>
  </si>
  <si>
    <t>PREMIUM-C 4000                 PREMIUM-Е 4000</t>
  </si>
  <si>
    <t>PREMIUM-C 2000</t>
  </si>
  <si>
    <t>PREMIUM-C 1250</t>
  </si>
  <si>
    <t xml:space="preserve">PREMIUM-C 2500 </t>
  </si>
  <si>
    <t>1                             1</t>
  </si>
  <si>
    <t>1                              1</t>
  </si>
  <si>
    <t>АЛЬЯНС Москва</t>
  </si>
  <si>
    <t>PREMIUM С-1000  + автоматика + обвязка</t>
  </si>
  <si>
    <t>PREMIUM С-2000</t>
  </si>
  <si>
    <t>на 25 год</t>
  </si>
  <si>
    <t>ЭЛЬТОН</t>
  </si>
  <si>
    <t>11 неделя 11-15 марта 2024</t>
  </si>
  <si>
    <t>ПКФ ЭНЕРГОСТРОЙ</t>
  </si>
  <si>
    <t>3                                 1</t>
  </si>
  <si>
    <t xml:space="preserve"> 5МВт — 3 шт.                 3МВт — 1 шт.</t>
  </si>
  <si>
    <t>ГАЗАВТОМАТ</t>
  </si>
  <si>
    <t>АРИС</t>
  </si>
  <si>
    <t>не будут заказывать пока чертежи не будут готовы</t>
  </si>
  <si>
    <t xml:space="preserve">КСИ </t>
  </si>
  <si>
    <t>ГЗС-ГРУПП</t>
  </si>
  <si>
    <t>3 котла в вариациях</t>
  </si>
  <si>
    <t>Выставлено КП на  Е</t>
  </si>
  <si>
    <t>ПРО-ГАЗ, СБП Пеунов Михаил Юрьевич</t>
  </si>
  <si>
    <t>КОСТРОМАВОДОКАНАЛ</t>
  </si>
  <si>
    <t>в защите 3 котла по 500 , направлена документация с К, реализация июнь</t>
  </si>
  <si>
    <t>ЭНЕРГОРЕСУРС КИРОВ</t>
  </si>
  <si>
    <t>PREMIUM С-1000</t>
  </si>
  <si>
    <t>Самарская макаронная фабрика ВЕРОЛА</t>
  </si>
  <si>
    <t>PREMIUM С-1000 + горелки + автоматика</t>
  </si>
  <si>
    <t>PREMIUM С-4000, PREMIUM С-3500</t>
  </si>
  <si>
    <t>С500-С2500 изучение рынка</t>
  </si>
  <si>
    <t>Энергия + МСК</t>
  </si>
  <si>
    <t>Проектная организация. Направлена информация, договорились созвониться на след неделе</t>
  </si>
  <si>
    <t>2                           1</t>
  </si>
  <si>
    <t>PREMIUM К-1120  PREMIUM К-620</t>
  </si>
  <si>
    <t>Запрос цен</t>
  </si>
  <si>
    <t>тендер</t>
  </si>
  <si>
    <t>PREMIUM С-4000 + горелка</t>
  </si>
  <si>
    <t>ГЛОБАЛ ГАЗ</t>
  </si>
  <si>
    <t>PREMIUM С-1000 + шкафы + каскад</t>
  </si>
  <si>
    <t xml:space="preserve"> 15 03 2024</t>
  </si>
  <si>
    <t>1. Количество заявок на котлы -11</t>
  </si>
  <si>
    <t>2. Количество выставленных КП -11</t>
  </si>
  <si>
    <t>5. Количество сделок -1</t>
  </si>
  <si>
    <t>СК-ГРУПП Данила</t>
  </si>
  <si>
    <t>6. Сумма сделок- 2 319 000</t>
  </si>
  <si>
    <t>3. Количество звонков по новым клиентам — 3.</t>
  </si>
  <si>
    <t>4. Количество выставленных счетов  - 2</t>
  </si>
  <si>
    <t xml:space="preserve">Защита проекта ЭНКА </t>
  </si>
  <si>
    <t>направлены тех параметры</t>
  </si>
  <si>
    <t>PREMIUM С 2500</t>
  </si>
  <si>
    <t>12 неделя:    18-22 марта</t>
  </si>
  <si>
    <t xml:space="preserve"> </t>
  </si>
  <si>
    <t>ТСЖ ВОЛЖСКАЯ Заря Самара</t>
  </si>
  <si>
    <t>ОРТЕПЛОСЕРВИС (Оренбург)</t>
  </si>
  <si>
    <t>ФГБОУ ВО СПбГУВМ</t>
  </si>
  <si>
    <t>PREMIUM-E 5000</t>
  </si>
  <si>
    <t>ПРОМГАЗ</t>
  </si>
  <si>
    <t>САРАТОВНЕФТЕГАЗ</t>
  </si>
  <si>
    <t>PREMIUM-E 6000</t>
  </si>
  <si>
    <t>ИНВЕСТ АУДИТ</t>
  </si>
  <si>
    <t>ОЛИМПЭНЕРГОСТРОЙ</t>
  </si>
  <si>
    <t>PREMIUM-E 3000; PREMIUM-С 3000</t>
  </si>
  <si>
    <t>1                          1</t>
  </si>
  <si>
    <t xml:space="preserve"> Предложен уровень цен на двух и трехходовый котел. У них изначально желание было на трехход.</t>
  </si>
  <si>
    <t>PREMIUM-С 1250     PREMIUM-С 1000</t>
  </si>
  <si>
    <t>3                          3</t>
  </si>
  <si>
    <t>PREMIUM-С 4000   PREMIUM-С 2000</t>
  </si>
  <si>
    <t>PREMIUM-С 2000   PREMIUM-С 500</t>
  </si>
  <si>
    <t>КСИ</t>
  </si>
  <si>
    <t>PREMIUM-E 2000</t>
  </si>
  <si>
    <t>PREMIUM-С 2000</t>
  </si>
  <si>
    <t>от 500 до 2500</t>
  </si>
  <si>
    <t>1. Количество заявок на котлы -9</t>
  </si>
  <si>
    <t>2. Количество выставленных КП -9</t>
  </si>
  <si>
    <t>3. Количество звонков по новым клиентам — 0.</t>
  </si>
  <si>
    <t>4. Количество выставленных счетов  - 0</t>
  </si>
  <si>
    <t>6. Сумма сделок-  821 560</t>
  </si>
  <si>
    <t>Пошли думать и считать габариты</t>
  </si>
  <si>
    <t>для тендера</t>
  </si>
  <si>
    <t>Ждем аванс от Автомобилиста</t>
  </si>
  <si>
    <t>Ждем аванс от НГС</t>
  </si>
  <si>
    <t>(им разрешили заплатить 30%)</t>
  </si>
  <si>
    <t>13 неделя:    25-29 марта</t>
  </si>
  <si>
    <t>ООО "СТРОЙ-ГАЗ-СЕРВИС"</t>
  </si>
  <si>
    <t>PREMIUM-С 1000</t>
  </si>
  <si>
    <t>МУП "Старо-Шагиртское ЖКХ"</t>
  </si>
  <si>
    <t>ООО ПСО "ГЛОБАЛ ГАЗ"</t>
  </si>
  <si>
    <t>PREMIUM-С 250</t>
  </si>
  <si>
    <t>PREMIUM-С 250 + автоматика</t>
  </si>
  <si>
    <t>PREMIUM-С 1900 + автоматика</t>
  </si>
  <si>
    <t>PREMIUM-Е 2500</t>
  </si>
  <si>
    <t>PREMIUM-С 800</t>
  </si>
  <si>
    <t>ООО СмартПромМонтаж</t>
  </si>
  <si>
    <t>6. Сумма сделок-  890 000,00</t>
  </si>
  <si>
    <t>ООО РемАрт мск</t>
  </si>
  <si>
    <t>ООО ТеплоСтрой НН</t>
  </si>
  <si>
    <t>PREMIUM-С 350</t>
  </si>
  <si>
    <t>PREMIUM-С 2500</t>
  </si>
  <si>
    <t>14 неделя:  01 апреля — 5 апреля</t>
  </si>
  <si>
    <t xml:space="preserve">ООО ГЗС Групп </t>
  </si>
  <si>
    <t xml:space="preserve">ООО ГЗС- ГРУПП </t>
  </si>
  <si>
    <t>1. Количество заявок на котлы -7</t>
  </si>
  <si>
    <t>2. Количество выставленных КП -7</t>
  </si>
  <si>
    <t>3. Количество встреч по новым клиентам — 3</t>
  </si>
  <si>
    <t>PREMIUM-С -2000</t>
  </si>
  <si>
    <t>ООО Фарадей /СИМА ЛЕНД</t>
  </si>
  <si>
    <t>заказали котлы виссман и бош</t>
  </si>
  <si>
    <t>МУП «ТЕПЛОРЕСУРС»</t>
  </si>
  <si>
    <t>прайс</t>
  </si>
  <si>
    <t>5. Количество сделок  - 0</t>
  </si>
  <si>
    <t>6. Сумма сделок-  0</t>
  </si>
  <si>
    <t>ГЛОБАЛГАЗ</t>
  </si>
  <si>
    <t>СИМАЛЕНД/ФАРАДЕЙ</t>
  </si>
  <si>
    <t>4000 и 1000</t>
  </si>
  <si>
    <t>4х6000 трехход</t>
  </si>
  <si>
    <t>ЭНЕРГОАктив (Алапаевск)</t>
  </si>
  <si>
    <t xml:space="preserve">СТРОЙ Гарант Ярославль </t>
  </si>
  <si>
    <t>повторное обращение</t>
  </si>
  <si>
    <t xml:space="preserve">МУП ПЕРМЬ </t>
  </si>
  <si>
    <t>1 счет и договор на 7 420 208,00</t>
  </si>
  <si>
    <t>1 счет и договор на 2 886 000,00</t>
  </si>
  <si>
    <t>4. Количество выставленных счетов  -  2</t>
  </si>
  <si>
    <t>PREMIUM-С -2500 + шкаф+ горелка</t>
  </si>
  <si>
    <t>3. Количество  по новым клиентам — 0</t>
  </si>
  <si>
    <t>PREMIUM-С -3000         PREMIUM-С 800</t>
  </si>
  <si>
    <t>3 котла по  3 МВТ</t>
  </si>
  <si>
    <t>12 МВТ</t>
  </si>
  <si>
    <t>1. Количество заявок на котлы -12</t>
  </si>
  <si>
    <t>PREMIUM-С 750 2 и PREMIUM-С 1250 -1</t>
  </si>
  <si>
    <t xml:space="preserve">2                    1 </t>
  </si>
  <si>
    <t>PREMIUM-С-3000</t>
  </si>
  <si>
    <t>Аванс от НГС</t>
  </si>
  <si>
    <t>14 неделя:  08 апреля — 12 апреля</t>
  </si>
  <si>
    <t>ООО «ТПФ Конструкция»</t>
  </si>
  <si>
    <t>PREMIUM-С 500 + горелка балтур</t>
  </si>
  <si>
    <t>1                            1</t>
  </si>
  <si>
    <t>предоставлена скидка 50 тыс от первоначального КП, боремся с сербскими котлами</t>
  </si>
  <si>
    <t>ООО "Саратовская НефтеГазовая Компания"</t>
  </si>
  <si>
    <t>рассмотрение как аналога на замену КВА котла</t>
  </si>
  <si>
    <t>PREMIUM-С 4000</t>
  </si>
  <si>
    <t>направлены габариты  для согласования</t>
  </si>
  <si>
    <t>РГ Констракшн</t>
  </si>
  <si>
    <t>9,2 МВТ котельная</t>
  </si>
  <si>
    <t>нужно дать стоимость котельной примерную</t>
  </si>
  <si>
    <t xml:space="preserve">ООО «Алтинг Рус» </t>
  </si>
  <si>
    <t>PREMIUM-С 2500 + горелка+ автоматика</t>
  </si>
  <si>
    <t>пока сбор кп</t>
  </si>
  <si>
    <t>АО "НПО "Прибор" им. С.С. Голембиовского"</t>
  </si>
  <si>
    <t>PREMIUM-E 7000</t>
  </si>
  <si>
    <t>ООО "Дасмот"</t>
  </si>
  <si>
    <t>PREMIUM-E 3500</t>
  </si>
  <si>
    <t>1+горелка</t>
  </si>
  <si>
    <t>PREMIUM-С 450 + шкаф управления</t>
  </si>
  <si>
    <t>новая цена с 22 апреля</t>
  </si>
  <si>
    <t>ООО "Кабельный завод Кабэкс"</t>
  </si>
  <si>
    <t>PREMIUM-С 500 PREMIUM-С 1000</t>
  </si>
  <si>
    <t xml:space="preserve">2                             1 </t>
  </si>
  <si>
    <t>МУП Петров Вал (Волгоградск обл)</t>
  </si>
  <si>
    <t>Дагестан Руслан</t>
  </si>
  <si>
    <t>PREMIUM-С 1500 + горелка</t>
  </si>
  <si>
    <t>НГС (фрак джет)</t>
  </si>
  <si>
    <t>Панель UNIKAL</t>
  </si>
  <si>
    <t>направлена спецификация</t>
  </si>
  <si>
    <t>МАГИСТРАЛЬ (саратов)</t>
  </si>
  <si>
    <t>Средневолжская газовая компания</t>
  </si>
  <si>
    <t xml:space="preserve">PREMIUM-С 1500              PREMIUM-С 1250                PREMIUM-С 200                           </t>
  </si>
  <si>
    <t>4                         1                              2</t>
  </si>
  <si>
    <t>30% по новым ценам</t>
  </si>
  <si>
    <t>2 БМК 4200 и 4700, указано наличие на складе</t>
  </si>
  <si>
    <t>запрос КПД и расхода газа</t>
  </si>
  <si>
    <t>PREMIUM-С 2500 и E 6 МВт</t>
  </si>
  <si>
    <t>ГАЗТОРГПРОМ"</t>
  </si>
  <si>
    <t xml:space="preserve">PREMIUM-С 250    </t>
  </si>
  <si>
    <t>данные на основе тимрона</t>
  </si>
  <si>
    <t>PREMIUM-С 1250</t>
  </si>
  <si>
    <t>аналог КВА</t>
  </si>
  <si>
    <t>1. Количество заявок на котлы -16</t>
  </si>
  <si>
    <t>2. Количество выставленных КП -15</t>
  </si>
  <si>
    <t>4. Количество выставленных счетов  — 1 (48 521,00)</t>
  </si>
  <si>
    <t>ждем план помещения для оценки какой котел туда войдет</t>
  </si>
  <si>
    <t>Нужны уникальные характристики для ТЗ</t>
  </si>
  <si>
    <t>Государственный ракетный центр, г. Миас, Владимир  8 902 611 76 71</t>
  </si>
  <si>
    <t>PREMIUM-С 500  + горелка + автоматика</t>
  </si>
  <si>
    <t>Сбор информации о организации и общая стоимость</t>
  </si>
  <si>
    <t>15 неделя:  15 апреля — 19 апреля</t>
  </si>
  <si>
    <t>ИП ХВАТОВ/Пещера монаха</t>
  </si>
  <si>
    <t>С-500</t>
  </si>
  <si>
    <t>Балаково/Хвалынск</t>
  </si>
  <si>
    <t>С-2000</t>
  </si>
  <si>
    <t>Общество с ограниченной ответственностью "КРОНЕТ"</t>
  </si>
  <si>
    <t>PREMIUM-С 950</t>
  </si>
  <si>
    <t>МУП ЖКХ Камышинского района</t>
  </si>
  <si>
    <t>участие в тендере</t>
  </si>
  <si>
    <t>ООО "ГАЗТОРГПРОМ"</t>
  </si>
  <si>
    <t>PREMIUM-С 500 PREMIUM-С 750</t>
  </si>
  <si>
    <t xml:space="preserve">2                          1 </t>
  </si>
  <si>
    <t>ООО «Газавтомат»</t>
  </si>
  <si>
    <t>PREMIUM-С 1000, С 1500</t>
  </si>
  <si>
    <t>изучение рынка</t>
  </si>
  <si>
    <t>ООО «Теплоцентр»</t>
  </si>
  <si>
    <t>ООО ЛугаМаш (Елена Иванушкина)</t>
  </si>
  <si>
    <t xml:space="preserve">PREMIUM-С 1000 + горелка </t>
  </si>
  <si>
    <t>PREMIUM-С 800 + автоматика + шкаф каскад</t>
  </si>
  <si>
    <t>ООО Завод ДОРОЖНЫЕ МАШИНЫ</t>
  </si>
  <si>
    <t>PREMIUM-С 1000 + автоматика + комплектующие</t>
  </si>
  <si>
    <t>Филиала АО «Мособлгаз» «Север»</t>
  </si>
  <si>
    <t>PREMIUM-С 1750</t>
  </si>
  <si>
    <t>Пещера Монаха/ИП Хватов</t>
  </si>
  <si>
    <t>PREMIUM-С 500</t>
  </si>
  <si>
    <t>Горелка ему нужна на отработанном масле</t>
  </si>
  <si>
    <t>АДМИНИСТРАЦИЯ Красноармейского МО</t>
  </si>
  <si>
    <t>нет телефона и на сайте предприятия</t>
  </si>
  <si>
    <t>АО «КОНЦЕРН «ЭНЕРГОТЕХНОЛОГИИ»</t>
  </si>
  <si>
    <t>E-4200 и E -3500</t>
  </si>
  <si>
    <t>замена Энтророс Термотехник ТТ 100 - 4200 - 2 шт и 3500</t>
  </si>
  <si>
    <t>ОАО «МПНУ Энерготехмонтаж»</t>
  </si>
  <si>
    <t>МАГИСТРАЛЬ</t>
  </si>
  <si>
    <t xml:space="preserve">PREMIUM-С 3500 </t>
  </si>
  <si>
    <t>4. Количество выставленных счетов  — 1 (4 494 240,00)</t>
  </si>
  <si>
    <t>довыставлена доставка</t>
  </si>
  <si>
    <t>Аналог запроса ОрТеплоСервис</t>
  </si>
  <si>
    <t xml:space="preserve">ВЕРОЛА </t>
  </si>
  <si>
    <t>Е-2000</t>
  </si>
  <si>
    <t>ГАЗТЕПЛОСТРОЙ (Кирово-чепецк)</t>
  </si>
  <si>
    <t>16 неделя:  22 апреля — 27 апреля</t>
  </si>
  <si>
    <t>ООО УЭР</t>
  </si>
  <si>
    <t>АО КОНЦЕРН ЭНЕРГОТЕХНОЛОГИИ</t>
  </si>
  <si>
    <t xml:space="preserve">Е-4200;                               Е-3500 </t>
  </si>
  <si>
    <t>АРМТЭК</t>
  </si>
  <si>
    <t>PREMIUM С-750</t>
  </si>
  <si>
    <t>Подготовлен договор , счет</t>
  </si>
  <si>
    <t>ФАРАДЕЙ</t>
  </si>
  <si>
    <t>PREMIUM С-4000 PREMIUM С-1000</t>
  </si>
  <si>
    <t>повторно</t>
  </si>
  <si>
    <t>ООО "КМП-ГАЗ"</t>
  </si>
  <si>
    <t>Е-5000                               Е-6000</t>
  </si>
  <si>
    <t>1                               1</t>
  </si>
  <si>
    <t>Е-2500</t>
  </si>
  <si>
    <t>ООО ПЛАЗВЕЛД</t>
  </si>
  <si>
    <t>ООО ОЛИМПЭНЕРГОСТРОЙ</t>
  </si>
  <si>
    <t>Е-12</t>
  </si>
  <si>
    <t>ИНТЕЛЛЕКТУАЛЬНЫЕ КОММУНАЛЬНЫЕ СИСТЕМЫ</t>
  </si>
  <si>
    <t>Е-8000</t>
  </si>
  <si>
    <t>ООО " ПКФ "ЭнергоСистемы"</t>
  </si>
  <si>
    <t>Уведомление и счет на доплату автоматика АЛЬЯНС</t>
  </si>
  <si>
    <t>ФОРТИС</t>
  </si>
  <si>
    <t>PREMIUM С-500 PREMIUM С-1000</t>
  </si>
  <si>
    <t>1                             2</t>
  </si>
  <si>
    <t>PREMIUM С-2500 PREMIUM Е-6000</t>
  </si>
  <si>
    <t>цена из ранее выставлявшегося счета</t>
  </si>
  <si>
    <t>2                             2</t>
  </si>
  <si>
    <t>ООО ВЕСТАГАЗ</t>
  </si>
  <si>
    <t>PREMIUM С-200 PREMIUM С-800</t>
  </si>
  <si>
    <t>1                            2</t>
  </si>
  <si>
    <t>ООО "ПКФ Энергострой"</t>
  </si>
  <si>
    <t>PREMIUM С-2500</t>
  </si>
  <si>
    <t>PREMIUM Е-6000</t>
  </si>
  <si>
    <t>PREMIUM С-1000 PREMIUM С-500 PREMIUM С-750</t>
  </si>
  <si>
    <t>1                                  1                                 1</t>
  </si>
  <si>
    <t>Выбирают комплектность</t>
  </si>
  <si>
    <t>ИП Батаев Александр Владимирович/ Юг-теплосервис</t>
  </si>
  <si>
    <t>PREMIUM С-750 PREMIUM С-1250</t>
  </si>
  <si>
    <t>C-4000</t>
  </si>
  <si>
    <t>ПРОМСТАНДАРТ</t>
  </si>
  <si>
    <t>Е-1000                               Е-2000</t>
  </si>
  <si>
    <t>ООО ГАЗКИПСЕРВИС</t>
  </si>
  <si>
    <t>СК-ГАЗ</t>
  </si>
  <si>
    <t>PREMIUM С-800 PREMIUM С-2650</t>
  </si>
  <si>
    <t>1                               2</t>
  </si>
  <si>
    <t>27 04 2024</t>
  </si>
  <si>
    <t>купили из наличия у другой фирмы</t>
  </si>
  <si>
    <t>ООО "БЛАГОДВОР"</t>
  </si>
  <si>
    <t xml:space="preserve">Шагин Сергей т. 49244 64300 э/п sladovyanka@mail.ru </t>
  </si>
  <si>
    <t>S-1000? 8 бар</t>
  </si>
  <si>
    <t>Данил Владимирцев Телефон
+79307090405
Email: Vladimirtsev.DE@russilica.ru Строящийся завод по производству силикагеля в Нижнем Новгороде. паровая котельная 15 т/ч. Рассматривают котлы УРАН</t>
  </si>
  <si>
    <t>ООО "ЭНЕРДЖИ КОНСАЛТИНГ ГРУПП"</t>
  </si>
  <si>
    <t>2                             1</t>
  </si>
  <si>
    <t>Premium C-2000                   Premium C-1000</t>
  </si>
  <si>
    <t>1                        1</t>
  </si>
  <si>
    <t>PREMIUM E  1000                    PREMIUM E  1250 кВт</t>
  </si>
  <si>
    <t>02.052024</t>
  </si>
  <si>
    <t>Уведомление и счет ОАО Санаторий Автомобилист</t>
  </si>
  <si>
    <t>НГС - Спецификация № 3 на котел 3Мвт</t>
  </si>
  <si>
    <t>1. Количество заявок на котлы -25</t>
  </si>
  <si>
    <t>2. Количество выставленных КП -25</t>
  </si>
  <si>
    <t>4. Количество выставленных счетов  — 1 (5 695 485,00)</t>
  </si>
  <si>
    <t>17 неделя:  2 -3 мая</t>
  </si>
  <si>
    <t>СК-СТАРТ Москва</t>
  </si>
  <si>
    <t xml:space="preserve">Premium C-2000 + горелки  </t>
  </si>
  <si>
    <t xml:space="preserve"> принятие решения на этой неделе</t>
  </si>
  <si>
    <t>подготовка КП для заказчика</t>
  </si>
  <si>
    <t xml:space="preserve"> ПРОМСТАНДАРТ</t>
  </si>
  <si>
    <t>решение принимается, в резерве до 20 числа</t>
  </si>
  <si>
    <t>Premium С-1250</t>
  </si>
  <si>
    <t>4. Количество выставленных счетов  — 1 (1 394 000,00)</t>
  </si>
  <si>
    <t>1. Количество заявок на котлы — 3</t>
  </si>
  <si>
    <t>2. Количество выставленных КП —3</t>
  </si>
  <si>
    <t>Premium К-3050+шкафы</t>
  </si>
  <si>
    <t>КСИ (Александр)</t>
  </si>
  <si>
    <t>20 неделя: 13—19 мая</t>
  </si>
  <si>
    <t>Поставка котлов Кыргызстан</t>
  </si>
  <si>
    <t xml:space="preserve">Прайс </t>
  </si>
  <si>
    <t>C-3000;  C-1000; S-4000 + горелки</t>
  </si>
  <si>
    <t>ООО СЗ РОЩИНО</t>
  </si>
  <si>
    <t>2                              1</t>
  </si>
  <si>
    <t>С-2650;  С-800</t>
  </si>
  <si>
    <t>ООО СК Возрождение</t>
  </si>
  <si>
    <t>E-6000</t>
  </si>
  <si>
    <t>ООО "Веста ГАЗ"</t>
  </si>
  <si>
    <t>C-500</t>
  </si>
  <si>
    <t>ИП Дегтярев</t>
  </si>
  <si>
    <t>С-2500</t>
  </si>
  <si>
    <t>ШАТУРА (тендер)</t>
  </si>
  <si>
    <t>С-250 С-500</t>
  </si>
  <si>
    <t>6                       3</t>
  </si>
  <si>
    <t>ООО «ФИРМА«ЭДЕКСМАРТ ЭДЮКЕЙШН»</t>
  </si>
  <si>
    <t>С-3000</t>
  </si>
  <si>
    <t>ООО КЭР ЭНЕРДЖИ (Наб челны)</t>
  </si>
  <si>
    <t>C-2500; Е-6000</t>
  </si>
  <si>
    <t>аналог</t>
  </si>
  <si>
    <t>1. Количество заявок на котлы —8</t>
  </si>
  <si>
    <t>2. Количество выставленных КП —7</t>
  </si>
  <si>
    <t xml:space="preserve">5. Количество сделок  - 2 </t>
  </si>
  <si>
    <t>Мордовия, школа</t>
  </si>
  <si>
    <t>С-250+ горелка</t>
  </si>
  <si>
    <t>Направлен прайс</t>
  </si>
  <si>
    <t>4. Количество выставленных счетов  — 2 (1 620 000,00 КСИ)</t>
  </si>
  <si>
    <t>(4 044 233,00 - СК ГАЗ)</t>
  </si>
  <si>
    <t>6. Сумма сделок-  2 696 000,00</t>
  </si>
  <si>
    <t>2 - С-2000 полная оплата: аванс С- 1250 - 2 шт</t>
  </si>
  <si>
    <t xml:space="preserve">Оплата 16 мая </t>
  </si>
  <si>
    <t>Оплата 17 мая</t>
  </si>
  <si>
    <t>Ск-Газ</t>
  </si>
  <si>
    <t>Энерго -сервис</t>
  </si>
  <si>
    <t>Стабил газ</t>
  </si>
  <si>
    <t>ТГВ -пенза</t>
  </si>
  <si>
    <t>Е-4000</t>
  </si>
  <si>
    <t>Теплосервис -ТС</t>
  </si>
  <si>
    <t>Е-7000</t>
  </si>
  <si>
    <t>НАВИГАТОР ессентуки</t>
  </si>
  <si>
    <t>Vproka2017@mai.ru</t>
  </si>
  <si>
    <t>ЭМЗ Вятка</t>
  </si>
  <si>
    <t>E-2500</t>
  </si>
  <si>
    <t>Глобалгаз</t>
  </si>
  <si>
    <t>ЕВРОГАЛС</t>
  </si>
  <si>
    <t>жаротрубные котлы не подошли</t>
  </si>
  <si>
    <t>21 неделя: 20—26 мая</t>
  </si>
  <si>
    <t>ГАЗ-Альянс</t>
  </si>
  <si>
    <t>нужно 2 по 4,5</t>
  </si>
  <si>
    <t>С-1000</t>
  </si>
  <si>
    <t>Глобал Газ</t>
  </si>
  <si>
    <t>C- 250 + горелка на сжиженный газ</t>
  </si>
  <si>
    <t>E-8000                                 E-2500                                  E-10000                                  E- 5000                                E-4000</t>
  </si>
  <si>
    <t>3                              2                        2                         3                             1</t>
  </si>
  <si>
    <t>S-3000</t>
  </si>
  <si>
    <t>комфорт</t>
  </si>
  <si>
    <t>S-500</t>
  </si>
  <si>
    <t>S-2500                                      S-3000</t>
  </si>
  <si>
    <t>срок 100 дней</t>
  </si>
  <si>
    <t>боремся с Аркусом</t>
  </si>
  <si>
    <t>С-1000+горелка х2</t>
  </si>
  <si>
    <t>С-1000+ горелка</t>
  </si>
  <si>
    <t>Газэнергопром</t>
  </si>
  <si>
    <t>С-1500, С-1000, С-550</t>
  </si>
  <si>
    <t>Хотят трехходовые</t>
  </si>
  <si>
    <t>1 шт</t>
  </si>
  <si>
    <t xml:space="preserve">1                                 1    </t>
  </si>
  <si>
    <t>НеваСитиСервис Красноярск</t>
  </si>
  <si>
    <t>С-250-С-4000</t>
  </si>
  <si>
    <t xml:space="preserve"> цена</t>
  </si>
  <si>
    <t>Е-4000                                 Е-5000</t>
  </si>
  <si>
    <t>C-1100</t>
  </si>
  <si>
    <t xml:space="preserve"> написать 1100 квт</t>
  </si>
  <si>
    <t>С-250</t>
  </si>
  <si>
    <t xml:space="preserve">5. Количество сделок  - 0 </t>
  </si>
  <si>
    <t>4. Количество выставленных счетов  — 1 (5 695 485,00 (С-4000 - 2 шт, С-1000</t>
  </si>
  <si>
    <t>Веста-Газ</t>
  </si>
  <si>
    <t>1. Количество заявок на котлы —17</t>
  </si>
  <si>
    <t>2. Количество выставленных КП —17</t>
  </si>
  <si>
    <t>запрос прайса</t>
  </si>
  <si>
    <t>22 неделя: 27—31мая</t>
  </si>
  <si>
    <t>НПП Призма</t>
  </si>
  <si>
    <t>С-1500</t>
  </si>
  <si>
    <t>3000 КВТ -1 шт
2500 квт -1 шт
1000 КВТ -2 шт</t>
  </si>
  <si>
    <t>поставили в защиту</t>
  </si>
  <si>
    <t>Запрос для новых территорий</t>
  </si>
  <si>
    <t>НеваСити Сервис</t>
  </si>
  <si>
    <t>ООО Эверест</t>
  </si>
  <si>
    <t>ООО "ТИМ Сервис"</t>
  </si>
  <si>
    <t>С-500 + автоматика комплекс</t>
  </si>
  <si>
    <t>ЗиоСаб</t>
  </si>
  <si>
    <t>E-3500</t>
  </si>
  <si>
    <t>ООО «Джи - пром Инжиниринг»</t>
  </si>
  <si>
    <t>Сетевой железобетон</t>
  </si>
  <si>
    <t>ООО ПКФ Электропуск</t>
  </si>
  <si>
    <t>ООО ТД Лига</t>
  </si>
  <si>
    <t>ООО РЕМАрт</t>
  </si>
  <si>
    <t>С-1500+ горелки</t>
  </si>
  <si>
    <t>твердотопливный, не наш</t>
  </si>
  <si>
    <t>4. Количество выставленных счетов  — 1 620 000,00 (С-1000)</t>
  </si>
  <si>
    <t>Зиосаб</t>
  </si>
  <si>
    <t>Е-12000</t>
  </si>
  <si>
    <t>23 неделя: 03—07 июня</t>
  </si>
  <si>
    <t>СГА Инжиниринг</t>
  </si>
  <si>
    <t>ООО ТБН-энергосервис</t>
  </si>
  <si>
    <t>E-7000</t>
  </si>
  <si>
    <t>СЗМК</t>
  </si>
  <si>
    <t>С-750</t>
  </si>
  <si>
    <t>осень</t>
  </si>
  <si>
    <t>саратов</t>
  </si>
  <si>
    <t>1                                1</t>
  </si>
  <si>
    <t>С-2000                                С-2500</t>
  </si>
  <si>
    <t>предоставлен референц лист</t>
  </si>
  <si>
    <t>Котлосервис Дагестан</t>
  </si>
  <si>
    <t>E-800</t>
  </si>
  <si>
    <t>ООО ГАЗКом</t>
  </si>
  <si>
    <t>С1100</t>
  </si>
  <si>
    <t>ООО РЕАЛ</t>
  </si>
  <si>
    <t>С-1000                                    С-3000</t>
  </si>
  <si>
    <t>МАХОТИН</t>
  </si>
  <si>
    <t>С-1250                                      С-500</t>
  </si>
  <si>
    <t>С-1500 - 2 шт - 2 200 000,00 (САГАЗ, он же АРМТЭК)</t>
  </si>
  <si>
    <t>С1000 + автоматика</t>
  </si>
  <si>
    <t>С-5000</t>
  </si>
  <si>
    <t>ФКУ ИК-7 УФСИН России</t>
  </si>
  <si>
    <t xml:space="preserve">АММА г. Белебей, РБашкортостан, </t>
  </si>
  <si>
    <t xml:space="preserve">          2                              1                    1</t>
  </si>
  <si>
    <t>С-750                                 С-500                                     С-250</t>
  </si>
  <si>
    <t>4. Количество выставленных счетов  — 3(8 200 000,00(E-4000); 5 389 700,00 - горелки</t>
  </si>
  <si>
    <t>2. Количество выставленных КП —12</t>
  </si>
  <si>
    <t>ЗИОСАБ</t>
  </si>
  <si>
    <t>E-4500</t>
  </si>
  <si>
    <t>Проектировщики компания для предложения в Казахстан</t>
  </si>
  <si>
    <t>1. Количество заявок на котлы —12</t>
  </si>
  <si>
    <t>ОлимпЭнергоСтрой</t>
  </si>
  <si>
    <t>S-1500 + горелка</t>
  </si>
  <si>
    <t xml:space="preserve">ООО АММА </t>
  </si>
  <si>
    <t>проектировщики</t>
  </si>
  <si>
    <t>ТЕРМИКС</t>
  </si>
  <si>
    <t>актуализация</t>
  </si>
  <si>
    <t>500+2000</t>
  </si>
  <si>
    <t>ООО "Теплосервис-ТС"</t>
  </si>
  <si>
    <t>Компания ЛЭВЭЛ</t>
  </si>
  <si>
    <t>ООО "Термовольт"</t>
  </si>
  <si>
    <t>ООО ЗАВОД ИМПУЛЬС</t>
  </si>
  <si>
    <t>САРГАЗ</t>
  </si>
  <si>
    <t>ТГВ- Инжиниринг</t>
  </si>
  <si>
    <t>E-4000</t>
  </si>
  <si>
    <t>Горелка 510 МЕ</t>
  </si>
  <si>
    <t>С-2650,  С-800</t>
  </si>
  <si>
    <t>Оплата 10 июня</t>
  </si>
  <si>
    <t>ООО ЭМЗ Вятка</t>
  </si>
  <si>
    <t>Дагестан</t>
  </si>
  <si>
    <t>1750+ панель</t>
  </si>
  <si>
    <t xml:space="preserve">Закамских </t>
  </si>
  <si>
    <t>январь</t>
  </si>
  <si>
    <t>ООО САГАЗ</t>
  </si>
  <si>
    <t>МАЙ</t>
  </si>
  <si>
    <t>июнь</t>
  </si>
  <si>
    <t>С-4000, С-1000</t>
  </si>
  <si>
    <t>Санаторий Автомобилист</t>
  </si>
  <si>
    <t>С-1200 + горелка</t>
  </si>
  <si>
    <t>9 шт</t>
  </si>
  <si>
    <t>5. Количество сделок  - 3</t>
  </si>
  <si>
    <t>6. Сумма сделок-  14 664 856,00</t>
  </si>
  <si>
    <t>ТГК ИНЖИНИРИНГ, САГАЗ, ВЯТКА</t>
  </si>
  <si>
    <t>4. Количество выставленных счетов  — 1 (5 028 972,00) ПКФ ЭНЕРГОСТРОЙ</t>
  </si>
  <si>
    <t xml:space="preserve">МАХОТИН </t>
  </si>
  <si>
    <t>С-2000 С-250</t>
  </si>
  <si>
    <t>ГТМ ГАЗПРОМ</t>
  </si>
  <si>
    <t xml:space="preserve">на 25 год </t>
  </si>
  <si>
    <t xml:space="preserve">Энка </t>
  </si>
  <si>
    <t>S-3000 12 бар, C-2000</t>
  </si>
  <si>
    <t xml:space="preserve">  по 2 штуки</t>
  </si>
  <si>
    <t>Промгаз</t>
  </si>
  <si>
    <t>С-750, С-620</t>
  </si>
  <si>
    <t>С-800</t>
  </si>
  <si>
    <t>КСУ</t>
  </si>
  <si>
    <t>Е-6000</t>
  </si>
  <si>
    <t>Промстандарт</t>
  </si>
  <si>
    <t>S-1500</t>
  </si>
  <si>
    <t>С-1000, С-2500, С-2000</t>
  </si>
  <si>
    <t>1                              2                           2</t>
  </si>
  <si>
    <t>ООО ПКФ Энергострой</t>
  </si>
  <si>
    <t>14 июня</t>
  </si>
  <si>
    <t>24 неделя 10 июня — 14 июня</t>
  </si>
  <si>
    <t>25 неделя 17 июня — 21 июня</t>
  </si>
  <si>
    <t>Олимпэнергострой</t>
  </si>
  <si>
    <t>приглашение на завод</t>
  </si>
  <si>
    <t>Маврин Андрей Владимирович принятие решения  на 26 неделе.</t>
  </si>
  <si>
    <t>ООО "Микроклимат-НН"</t>
  </si>
  <si>
    <t xml:space="preserve">С -750 </t>
  </si>
  <si>
    <t>Принятие решения до конца месяца</t>
  </si>
  <si>
    <t>Профгаз</t>
  </si>
  <si>
    <t>ООО Волжское ВПК</t>
  </si>
  <si>
    <t>S-4000+ полный комплект</t>
  </si>
  <si>
    <t xml:space="preserve">Игорь </t>
  </si>
  <si>
    <t>ПКФ Энергострой</t>
  </si>
  <si>
    <t>C-2800</t>
  </si>
  <si>
    <t>Договор заключен 21.06.</t>
  </si>
  <si>
    <t>ООО "Газпромнефть-Снабжение"</t>
  </si>
  <si>
    <t>E-4000+обвязка</t>
  </si>
  <si>
    <t>Договор заключен 18.06.</t>
  </si>
  <si>
    <t>17.09.2024 отгрузка</t>
  </si>
  <si>
    <t>4. Количество выставленных счетов  — 1 (5 553 000,00) ПКФ ЭНЕРГОСТРОЙ</t>
  </si>
  <si>
    <t>26 неделя 24—28 июня</t>
  </si>
  <si>
    <t>ФРАМОС-Волга</t>
  </si>
  <si>
    <t>на Каазахстан</t>
  </si>
  <si>
    <t>С-850 , С-500</t>
  </si>
  <si>
    <t xml:space="preserve"> 2 шт и 1 шт</t>
  </si>
  <si>
    <t>актуализация цен</t>
  </si>
  <si>
    <t>ПРИЗМА</t>
  </si>
  <si>
    <t>E-6500</t>
  </si>
  <si>
    <t>Газтехносервис мск, екб, тюмень</t>
  </si>
  <si>
    <t>предложение сотрудничества</t>
  </si>
  <si>
    <t>Е-10000 Е3200</t>
  </si>
  <si>
    <t>Гролдекс</t>
  </si>
  <si>
    <t>2 и  1</t>
  </si>
  <si>
    <t>СТРОНЕКС</t>
  </si>
  <si>
    <t>ООО Сыродельный комбинат"Ичалковский"</t>
  </si>
  <si>
    <t>ГАЗКИПСЕРВИС Саранск</t>
  </si>
  <si>
    <t>ООО «Промышленные Системы» саранск</t>
  </si>
  <si>
    <t>C-250 + горелка</t>
  </si>
  <si>
    <t>с-250</t>
  </si>
  <si>
    <t>ООО Новый Век Сергей Булиев</t>
  </si>
  <si>
    <t>2                          1</t>
  </si>
  <si>
    <t>Не устраивает срок, долго. Ищет где побыстрее</t>
  </si>
  <si>
    <t>«Газпром ВНИИГАЗ Тюмень»</t>
  </si>
  <si>
    <t>S-10 000</t>
  </si>
  <si>
    <t>4. Количество выставленных счетов  — 0</t>
  </si>
  <si>
    <t>Заявка КМП газа</t>
  </si>
  <si>
    <t>1                    1                      1</t>
  </si>
  <si>
    <t>С2500,                           С-500,                             С-2000</t>
  </si>
  <si>
    <t>1. Количество заявок на котлы —14</t>
  </si>
  <si>
    <t>С-2500                                     С-3000</t>
  </si>
  <si>
    <t xml:space="preserve">2                              3            </t>
  </si>
  <si>
    <t>Сроки</t>
  </si>
  <si>
    <t>С-2500                                  С-1500</t>
  </si>
  <si>
    <t>2. Количество выставленных КП —13</t>
  </si>
  <si>
    <t>27 неделя 01.07—05.07</t>
  </si>
  <si>
    <t xml:space="preserve">ООО "СТРОЙ-ГАЗ-СЕРВИС" ПЕНЗА </t>
  </si>
  <si>
    <t>Эффективные технологии</t>
  </si>
  <si>
    <t xml:space="preserve">2                                1 </t>
  </si>
  <si>
    <t>С-1000                               С-500 горелки на диз т</t>
  </si>
  <si>
    <t>ГазЭнергоПром</t>
  </si>
  <si>
    <t>ООО «МЕГАВАТТ»</t>
  </si>
  <si>
    <t>2                                 1</t>
  </si>
  <si>
    <t>С-4,2МВт                                    С-1,36МВт</t>
  </si>
  <si>
    <t>на базе С-4000 и С1500</t>
  </si>
  <si>
    <t>E-2000</t>
  </si>
  <si>
    <t>выставлены С и Е</t>
  </si>
  <si>
    <t>Первая газовая компания</t>
  </si>
  <si>
    <t>S-4000 8 бар</t>
  </si>
  <si>
    <t>2 шт</t>
  </si>
  <si>
    <t>Деаэратор БДА/КДА 4/5</t>
  </si>
  <si>
    <t>E-5000</t>
  </si>
  <si>
    <t>4 шт</t>
  </si>
  <si>
    <t>4. Количество выставленных счетов  — 1</t>
  </si>
  <si>
    <t>5. Количество сделок  -1</t>
  </si>
  <si>
    <t>6. Сумма сделок- 3 090 000</t>
  </si>
  <si>
    <t>Зашли оплаты</t>
  </si>
  <si>
    <t>сумма</t>
  </si>
  <si>
    <t>Андрей Теплицы НН</t>
  </si>
  <si>
    <t>С-250 + горелка</t>
  </si>
  <si>
    <t>Спектр Газ</t>
  </si>
  <si>
    <t>ТГВ Инжиниринг</t>
  </si>
  <si>
    <t>Махотин</t>
  </si>
  <si>
    <t>2                               1                               1</t>
  </si>
  <si>
    <t>С-500                             С-1040                              С-1400</t>
  </si>
  <si>
    <t>ООО "Тритон"(Оренбургский пивоваренныйзавод «Крафт»)</t>
  </si>
  <si>
    <t>С-850                                    С-500</t>
  </si>
  <si>
    <t>2                                  1</t>
  </si>
  <si>
    <t>актуализация запроса</t>
  </si>
  <si>
    <t>Термикс</t>
  </si>
  <si>
    <t>ТРЕМИКС</t>
  </si>
  <si>
    <t>автоматика</t>
  </si>
  <si>
    <t>Защита проекта</t>
  </si>
  <si>
    <t xml:space="preserve">С-3500 </t>
  </si>
  <si>
    <t>реал 2025 год</t>
  </si>
  <si>
    <r>
      <t xml:space="preserve">САГАЗ/АрмТЭК (проект в экспертизе) </t>
    </r>
    <r>
      <rPr>
        <sz val="8"/>
        <color theme="1"/>
        <rFont val="Times New Roman"/>
        <family val="1"/>
        <charset val="204"/>
      </rPr>
      <t>АО «Верхнетуринский машиностроительный завод» по адресу Свердловская область,</t>
    </r>
    <r>
      <rPr>
        <b/>
        <sz val="8"/>
        <color theme="1"/>
        <rFont val="Times New Roman"/>
        <family val="1"/>
        <charset val="204"/>
      </rPr>
      <t xml:space="preserve"> г. Верхняя Тура,</t>
    </r>
    <r>
      <rPr>
        <sz val="8"/>
        <color theme="1"/>
        <rFont val="Times New Roman"/>
        <family val="1"/>
        <charset val="204"/>
      </rPr>
      <t xml:space="preserve"> ул.Машиностроителей, 2</t>
    </r>
  </si>
  <si>
    <t>1. Количество заявок на котлы —9</t>
  </si>
  <si>
    <t>2. Количество выставленных КП —9</t>
  </si>
  <si>
    <t>28 неделя  08 —12 июля</t>
  </si>
  <si>
    <t>Е-3000 Е-4000</t>
  </si>
  <si>
    <t>2                   2</t>
  </si>
  <si>
    <t>Удалов (СПБ)</t>
  </si>
  <si>
    <t>С-1250+ дизельная горелка</t>
  </si>
  <si>
    <t>Направлен прайс ск20%</t>
  </si>
  <si>
    <t>С-1500+ дизельная горелка</t>
  </si>
  <si>
    <t>Е -1600</t>
  </si>
  <si>
    <t xml:space="preserve">Лосев </t>
  </si>
  <si>
    <t>E-3000</t>
  </si>
  <si>
    <t>S-2500 12бар</t>
  </si>
  <si>
    <t>ЧГМЗ</t>
  </si>
  <si>
    <t>Аркус дает по 2 млн котлы</t>
  </si>
  <si>
    <t>Олимпэнергопромстрой</t>
  </si>
  <si>
    <t>МОСОБЛГАЗ Барышев А.С.</t>
  </si>
  <si>
    <t>1                          2</t>
  </si>
  <si>
    <t>E-3000                                E-3500</t>
  </si>
  <si>
    <t>МП ПО ЖКХ Клявлинского района</t>
  </si>
  <si>
    <t>C-1500 + горелка</t>
  </si>
  <si>
    <t>ООО “Тепло Поволжья”</t>
  </si>
  <si>
    <t>С-2000 E-6500</t>
  </si>
  <si>
    <t>25%                     30%</t>
  </si>
  <si>
    <t>ПКФ СААБ</t>
  </si>
  <si>
    <t>С-500 + шкаф</t>
  </si>
  <si>
    <t>С-500 + горелка</t>
  </si>
  <si>
    <t>Выставлены цены и сроки</t>
  </si>
  <si>
    <t>ФКУ ИК-6</t>
  </si>
  <si>
    <t>С- 1250</t>
  </si>
  <si>
    <t>С-730 С500</t>
  </si>
  <si>
    <t>25 год</t>
  </si>
  <si>
    <t>1                    1</t>
  </si>
  <si>
    <t>С-1000 С750</t>
  </si>
  <si>
    <t>2           1</t>
  </si>
  <si>
    <t>АТЛАНТ</t>
  </si>
  <si>
    <t xml:space="preserve">С-500 </t>
  </si>
  <si>
    <t>2025  Год</t>
  </si>
  <si>
    <t>ИП Мешков Челябинск</t>
  </si>
  <si>
    <t>Саратоворгсинтез</t>
  </si>
  <si>
    <t>запрос на тендер</t>
  </si>
  <si>
    <t>С-500 С-1000 
E- 1000, 2000., 3000   5000</t>
  </si>
  <si>
    <t>СУККУК</t>
  </si>
  <si>
    <t>ООО ЭНЕРГОМИР (ЕКБ)</t>
  </si>
  <si>
    <t>2. Количество выставленных КП —8</t>
  </si>
  <si>
    <t>3. Количество выставленных счетов  — 1</t>
  </si>
  <si>
    <t>4. Количество сделок  -1</t>
  </si>
  <si>
    <t>5. Сумма сделок- 1 364 000,00</t>
  </si>
  <si>
    <t>поставка август</t>
  </si>
  <si>
    <t>Сергей Евгеньевич Ефремчев
E-mail: info@73rotor.ru
Моб: +7 (937) 033-39-39</t>
  </si>
  <si>
    <t>22.07.2024 нигже не взяли, ушел заказчик  добывать разрешение газпрома</t>
  </si>
  <si>
    <t xml:space="preserve">Взяли у Теплоформ, имела значение цена </t>
  </si>
  <si>
    <t>С-2000 С-1000</t>
  </si>
  <si>
    <t>С-1000 С-750</t>
  </si>
  <si>
    <t>29 неделя 15.07—19.07</t>
  </si>
  <si>
    <t>30 неделя 22.07—29.07</t>
  </si>
  <si>
    <t>Тремикс</t>
  </si>
  <si>
    <t>Эльтон</t>
  </si>
  <si>
    <t>сроки 12  не подходят</t>
  </si>
  <si>
    <t>ВЕСТА-ГАЗ</t>
  </si>
  <si>
    <t>2                               2                             1</t>
  </si>
  <si>
    <t xml:space="preserve">С-800 
С-1500
С-1000 </t>
  </si>
  <si>
    <t>ООО Термопойнт Уфа монтажники</t>
  </si>
  <si>
    <t>Северстрой газ Сургут</t>
  </si>
  <si>
    <t>С-1000, С-2500, С 3000</t>
  </si>
  <si>
    <t>для проектирования</t>
  </si>
  <si>
    <t xml:space="preserve">С-2500                                С-2000                          </t>
  </si>
  <si>
    <t xml:space="preserve">ООО "Фирма Эдексмарт Эдюкейшн" г. Луганск ЛНР </t>
  </si>
  <si>
    <t>С-3000 + горелка</t>
  </si>
  <si>
    <t>решение близ неделя</t>
  </si>
  <si>
    <t>СИБИРЬ ИмпЭкс (на Казахов)</t>
  </si>
  <si>
    <t xml:space="preserve">С-800 </t>
  </si>
  <si>
    <t>тендер Самара</t>
  </si>
  <si>
    <t>ООО «УДС-Групп»</t>
  </si>
  <si>
    <t>Ижевск</t>
  </si>
  <si>
    <t>5. Сумма сделок- 2 282 062,00</t>
  </si>
  <si>
    <t>АО «Объединенная теплоснабжающая компания»</t>
  </si>
  <si>
    <t>Направлены каталоги</t>
  </si>
  <si>
    <t>В настоящее время все позиции закуплены. Работают по своим объектам. Задача  поработать по позициям на 2025г</t>
  </si>
  <si>
    <t>Теплицы Альметьевск (Радик Исхаков)</t>
  </si>
  <si>
    <t>Сами не знают что нужно</t>
  </si>
  <si>
    <t>АЛКРИ  (проектно-конструкторская )</t>
  </si>
  <si>
    <t>Направлена Информация на контактное лицо</t>
  </si>
  <si>
    <t>Автономные отопительные системы Ульяновск</t>
  </si>
  <si>
    <t xml:space="preserve">Вентура </t>
  </si>
  <si>
    <t xml:space="preserve">1                               1                      2 </t>
  </si>
  <si>
    <t>С-501                                С- 621;                           С-2500</t>
  </si>
  <si>
    <t>С-900                                       С-350</t>
  </si>
  <si>
    <t>2                                2</t>
  </si>
  <si>
    <t>ООО «Челябинский завод мобильных энергоустановок и конструкций  (ЧЗМЭК)</t>
  </si>
  <si>
    <t xml:space="preserve">PREMIUM S-3000 8 БАР </t>
  </si>
  <si>
    <t>Коммерческое получено, досчитывают свой объем работы, будут отправлять заказчику</t>
  </si>
  <si>
    <t>31 неделя 29.07—02.08</t>
  </si>
  <si>
    <t>Завод Профгаз</t>
  </si>
  <si>
    <t xml:space="preserve">С-1250 </t>
  </si>
  <si>
    <t>срок сдачи объекта февраль 25 год, предложен срок отгрузки ноябрь, ушли думать</t>
  </si>
  <si>
    <t>ООО «ГазСтройКом»</t>
  </si>
  <si>
    <t>ООО "ТИМ Сервис" (г. Саратов)</t>
  </si>
  <si>
    <t>Теплосервис ТС</t>
  </si>
  <si>
    <t>С-500 +С750</t>
  </si>
  <si>
    <t>1+1</t>
  </si>
  <si>
    <t>С- 2100</t>
  </si>
  <si>
    <t xml:space="preserve">ПКФ Энергострой </t>
  </si>
  <si>
    <t>сроки тоже не устроят, но отправлено. У них  потребность 7 сентября</t>
  </si>
  <si>
    <t xml:space="preserve">Газтех </t>
  </si>
  <si>
    <t>ДА-1</t>
  </si>
  <si>
    <t>ООО ВПП Чебоксары пар</t>
  </si>
  <si>
    <t>ЧЗМЕК пар</t>
  </si>
  <si>
    <t>КСУ /ООО "ГазЭнергоСибирь"</t>
  </si>
  <si>
    <t>5. Сумма сделок- 0</t>
  </si>
  <si>
    <t>4. Количество сделок  -0</t>
  </si>
  <si>
    <t>Договор не подписан</t>
  </si>
  <si>
    <t>Счет не оплачен</t>
  </si>
  <si>
    <t>S-1750</t>
  </si>
  <si>
    <t>ВостокГорСнаб</t>
  </si>
  <si>
    <t>С-400</t>
  </si>
  <si>
    <t>АрмТэк</t>
  </si>
  <si>
    <t>Потребность конец года</t>
  </si>
  <si>
    <t>S-5000 12 бар+горелки</t>
  </si>
  <si>
    <t>S-500, обвязка эконом</t>
  </si>
  <si>
    <t>С-800+ горелки</t>
  </si>
  <si>
    <t>ГАзПРОММАШ</t>
  </si>
  <si>
    <t>E-2500 10 бар</t>
  </si>
  <si>
    <t>30%+100</t>
  </si>
  <si>
    <t>откат</t>
  </si>
  <si>
    <t>птицефабрика Буйская</t>
  </si>
  <si>
    <t>Метакор-М</t>
  </si>
  <si>
    <t>Газком</t>
  </si>
  <si>
    <t>С-350</t>
  </si>
  <si>
    <t>ООО "Энергострой-Урал"</t>
  </si>
  <si>
    <t>32 неделя 05.08—09.08</t>
  </si>
  <si>
    <t>Котельный центр</t>
  </si>
  <si>
    <t>С-1500 С-1000</t>
  </si>
  <si>
    <t>1            1</t>
  </si>
  <si>
    <t>ЧЗМЕК</t>
  </si>
  <si>
    <t>пар</t>
  </si>
  <si>
    <t>1. Количество заявок на котлы —11</t>
  </si>
  <si>
    <t>2. Количество выставленных КП —11</t>
  </si>
  <si>
    <t>3. Количество выставленных счетов  — 1 (7 878000,00 E-2500)</t>
  </si>
  <si>
    <t>33 неделя 12- 16 августа</t>
  </si>
  <si>
    <t>Нефтегазстандарт</t>
  </si>
  <si>
    <t>ИП Ежак</t>
  </si>
  <si>
    <t>С-2500                                   С-3000</t>
  </si>
  <si>
    <t>Югра</t>
  </si>
  <si>
    <t>Энгельс</t>
  </si>
  <si>
    <t>САРАТОВ ПТИЦА/ТИМ СЕРВИС</t>
  </si>
  <si>
    <t>S-3500</t>
  </si>
  <si>
    <t>Призма</t>
  </si>
  <si>
    <t>Е-1000 10 бар</t>
  </si>
  <si>
    <t>E-1250</t>
  </si>
  <si>
    <t>ГАЗТОРГПРОМ</t>
  </si>
  <si>
    <t>С-270</t>
  </si>
  <si>
    <t>1                       2</t>
  </si>
  <si>
    <t xml:space="preserve">С-500                            С-1250 </t>
  </si>
  <si>
    <t>Обновление КП от июня</t>
  </si>
  <si>
    <t>3. Количество выставленных счетов  — 1 (3 631 000,00 С-2500; С-3000)</t>
  </si>
  <si>
    <t>август</t>
  </si>
  <si>
    <t>620 000/520 000</t>
  </si>
  <si>
    <t>С-500 С-750 С-1000</t>
  </si>
  <si>
    <t>S-1000</t>
  </si>
  <si>
    <t>C-2500+горелки</t>
  </si>
  <si>
    <t>ООО "СкайПром"</t>
  </si>
  <si>
    <t>Спецификация на Уникал НГС— 51 500</t>
  </si>
  <si>
    <t>на тендер 12-14 нед</t>
  </si>
  <si>
    <t>С-1500 С-500</t>
  </si>
  <si>
    <t>2 и1</t>
  </si>
  <si>
    <t>срок ноябрь</t>
  </si>
  <si>
    <t>ООО ГАЗПРОММАШ</t>
  </si>
  <si>
    <t>С-2500 С-3000</t>
  </si>
  <si>
    <t>Лысогорская птицефабрика</t>
  </si>
  <si>
    <t>(2+1)</t>
  </si>
  <si>
    <t>ООО ПКФ Энергострой (2+1)</t>
  </si>
  <si>
    <t>март</t>
  </si>
  <si>
    <t>КИРЕЕВ (Сергей)</t>
  </si>
  <si>
    <t>E-2000? C-2000</t>
  </si>
  <si>
    <t>30% и 20%</t>
  </si>
  <si>
    <t xml:space="preserve">Котлостройсервис Самара </t>
  </si>
  <si>
    <t>C-1300</t>
  </si>
  <si>
    <t>цены - норм, сроки длинные,Ю хотят реализацию в 2024 году</t>
  </si>
  <si>
    <t>ООО САМУР Самара</t>
  </si>
  <si>
    <t>18 недель</t>
  </si>
  <si>
    <t>РЗКО</t>
  </si>
  <si>
    <t>C-3000</t>
  </si>
  <si>
    <t xml:space="preserve"> думают на 2000</t>
  </si>
  <si>
    <t>34 неделя 19- 23 августа</t>
  </si>
  <si>
    <t xml:space="preserve">Птицефабрика </t>
  </si>
  <si>
    <t>горелки газ/*дизель</t>
  </si>
  <si>
    <t>Горелкка газ/дизель</t>
  </si>
  <si>
    <t>ВЕНТУРА</t>
  </si>
  <si>
    <t>3                            3</t>
  </si>
  <si>
    <t>E-4000                               C-4000</t>
  </si>
  <si>
    <t>МУП Теплосервис г. Воткинск</t>
  </si>
  <si>
    <t>ОООТСК ИНЖПРОМСНАБ</t>
  </si>
  <si>
    <t xml:space="preserve">E-1750 </t>
  </si>
  <si>
    <t>ИП Хватов Балаково</t>
  </si>
  <si>
    <t xml:space="preserve">С-750 </t>
  </si>
  <si>
    <t>Антон Ессентуки</t>
  </si>
  <si>
    <t>С-4000</t>
  </si>
  <si>
    <t>закладывают в проект, согл тех хар</t>
  </si>
  <si>
    <t xml:space="preserve">С-1500 </t>
  </si>
  <si>
    <t>4. Количество сделок  -2</t>
  </si>
  <si>
    <t>5. Сумма сделок- 7 578 000,00</t>
  </si>
  <si>
    <t>3. Количество выставленных счетов  — 1 (2 810 421,60) горелки</t>
  </si>
  <si>
    <t>август (300 откат)</t>
  </si>
  <si>
    <t>35 неделя 26—30 августа</t>
  </si>
  <si>
    <t>АО БУРИБАЕВСКИЙ ГОК</t>
  </si>
  <si>
    <t xml:space="preserve">2 шт </t>
  </si>
  <si>
    <t>С-250, С-1000 + гор</t>
  </si>
  <si>
    <t>1                 1</t>
  </si>
  <si>
    <t>ООО ТЕХСЕРВИС (Ишутин)</t>
  </si>
  <si>
    <t>прайс + 5%</t>
  </si>
  <si>
    <t>Обновление КП</t>
  </si>
  <si>
    <t>ООО ЦЕНТР ПРОЕКТ</t>
  </si>
  <si>
    <t>ИП Еромлаев (проектир ЕКБ)</t>
  </si>
  <si>
    <t>инфо о  заводе. Ищут завод с которым заходить на объекты</t>
  </si>
  <si>
    <t>СаГАЗ</t>
  </si>
  <si>
    <t>С-1750</t>
  </si>
  <si>
    <t>САГАЗ</t>
  </si>
  <si>
    <t>декабрь</t>
  </si>
  <si>
    <t>Выставлено счетов</t>
  </si>
  <si>
    <t xml:space="preserve">Направлено Договоров </t>
  </si>
  <si>
    <t>Автоматика (проектир</t>
  </si>
  <si>
    <t>обновление Инфы, отправка  котельных, нужно еще объекты</t>
  </si>
  <si>
    <t>КСИ, СаГаз</t>
  </si>
  <si>
    <t>СаГаз</t>
  </si>
  <si>
    <t>ЕКБ, Самара</t>
  </si>
  <si>
    <t>Самара</t>
  </si>
  <si>
    <t>сентябрь</t>
  </si>
  <si>
    <t>САГаз</t>
  </si>
  <si>
    <t>ООО НИИЭИ</t>
  </si>
  <si>
    <t>С-3500</t>
  </si>
  <si>
    <t>Хотели потратить денег до НГ</t>
  </si>
  <si>
    <t>Хотели из наличия</t>
  </si>
  <si>
    <t xml:space="preserve">Сайт Александр Ижевск </t>
  </si>
  <si>
    <t>Термовольт</t>
  </si>
  <si>
    <t>СИНОМА</t>
  </si>
  <si>
    <t>С-4200 С-6500</t>
  </si>
  <si>
    <t>проект 25 года</t>
  </si>
  <si>
    <t xml:space="preserve">Пещера монаха </t>
  </si>
  <si>
    <t>С-500, горелка, автоматика</t>
  </si>
  <si>
    <t>повтор</t>
  </si>
  <si>
    <t>С-1750—С-5000</t>
  </si>
  <si>
    <t>ассортимент</t>
  </si>
  <si>
    <t>АО ЗИТЕС (рузаевка)</t>
  </si>
  <si>
    <t>АЛЬТЕХПРОМ ДНР</t>
  </si>
  <si>
    <t xml:space="preserve">ГРОЛДЕКС </t>
  </si>
  <si>
    <t>С-5200 С-2500</t>
  </si>
  <si>
    <t>Проект 25 года</t>
  </si>
  <si>
    <t>ЭНКА ИНЖИНИРИНГ</t>
  </si>
  <si>
    <t>2                            3                              2</t>
  </si>
  <si>
    <t>2                               1</t>
  </si>
  <si>
    <t xml:space="preserve">1                             1 </t>
  </si>
  <si>
    <t>ООО Тепловые Системы Протон</t>
  </si>
  <si>
    <t>налаживание контакта, ищут завод с кем работать по газовым котлам</t>
  </si>
  <si>
    <t>ИП Горбаченко А.В. (Вячеслав Николаевич)</t>
  </si>
  <si>
    <t>С-500+горелка +автоматика)</t>
  </si>
  <si>
    <t xml:space="preserve">Чебоксары </t>
  </si>
  <si>
    <t>ЭНЕРГОРЕСУРС (Киров)</t>
  </si>
  <si>
    <t>С-1500;                                    С-2000</t>
  </si>
  <si>
    <t>ООО «АЛЬТЕХПРОМ»</t>
  </si>
  <si>
    <t>С1500,                                2500,                               700</t>
  </si>
  <si>
    <t xml:space="preserve">Антон ессентуки </t>
  </si>
  <si>
    <t>С-1000 + горелки</t>
  </si>
  <si>
    <t xml:space="preserve"> сроки не устроили</t>
  </si>
  <si>
    <t>Софьинское</t>
  </si>
  <si>
    <t>ИП Клыков</t>
  </si>
  <si>
    <t>С-1040 С-1400</t>
  </si>
  <si>
    <t>С-1250, горелка</t>
  </si>
  <si>
    <t xml:space="preserve">С-3000 </t>
  </si>
  <si>
    <t>С-1750        С3500</t>
  </si>
  <si>
    <t>Сентябрь  (36-37-38 недели) 2024</t>
  </si>
  <si>
    <t>КОРАЛЛ ЕКБ</t>
  </si>
  <si>
    <t>САНТЕХКЛУБ ЕКБ</t>
  </si>
  <si>
    <t xml:space="preserve">ИП Ежак </t>
  </si>
  <si>
    <t>не подошли сроки</t>
  </si>
  <si>
    <t>на базе 500  крупновато</t>
  </si>
  <si>
    <t xml:space="preserve">1                    1 </t>
  </si>
  <si>
    <t>1                   1</t>
  </si>
  <si>
    <t>40 неделя 30 сентября — 4 октября</t>
  </si>
  <si>
    <t>АРМТЭК/СаГАЗ</t>
  </si>
  <si>
    <t>ООО «ВКС»</t>
  </si>
  <si>
    <t>С-1000; С-1250</t>
  </si>
  <si>
    <t>тендеры</t>
  </si>
  <si>
    <t>1                           2</t>
  </si>
  <si>
    <t>2150                                  2300</t>
  </si>
  <si>
    <t>предложен срок январь 2025</t>
  </si>
  <si>
    <t>S-3000 8 бар</t>
  </si>
  <si>
    <t>ПКФ ЭНЕРГОСТРОЙ (махачкала)</t>
  </si>
  <si>
    <t>ПКФ ЭНЕРГОСТРОЙ (тверская область)</t>
  </si>
  <si>
    <t>S-5000 8 бар                                С-5000                                    С-6000</t>
  </si>
  <si>
    <t xml:space="preserve">3                      2                        1                    </t>
  </si>
  <si>
    <t xml:space="preserve">S-5000 12 бар                              </t>
  </si>
  <si>
    <t>ПКФ ЭНЕРГОСТРОЙ (РУС СИЛКА)</t>
  </si>
  <si>
    <t>СарГАЗ</t>
  </si>
  <si>
    <t xml:space="preserve">S-5000 8 бар       </t>
  </si>
  <si>
    <t>ИП Кордецкий Д,И.</t>
  </si>
  <si>
    <t>С-1000, инфо о заводе</t>
  </si>
  <si>
    <t>запрос на твердотопливный котел</t>
  </si>
  <si>
    <t xml:space="preserve">МНПУ ЭТМ </t>
  </si>
  <si>
    <t>С-1250</t>
  </si>
  <si>
    <t>Тюмень 2025 год</t>
  </si>
  <si>
    <t>S-</t>
  </si>
  <si>
    <t>даем срок январь 25</t>
  </si>
  <si>
    <t>ООО Оружейные мастерские  Камешково</t>
  </si>
  <si>
    <t>С-2500 + горелки + автоматика</t>
  </si>
  <si>
    <t>Кровелсон</t>
  </si>
  <si>
    <t>С-500 С-350</t>
  </si>
  <si>
    <t xml:space="preserve">Виктор СП-Б заявка сайта </t>
  </si>
  <si>
    <t xml:space="preserve"> ему нужен через месяц</t>
  </si>
  <si>
    <t>ООО Русволга -коммерц</t>
  </si>
  <si>
    <t>Усольский машиностроительный завод</t>
  </si>
  <si>
    <t>С-2500 +  автоматика</t>
  </si>
  <si>
    <t>С-3000 или С-3500</t>
  </si>
  <si>
    <t>Компания ООО "Риквэст-Сервис"</t>
  </si>
  <si>
    <t>Энергомир, ЕКБ</t>
  </si>
  <si>
    <t>САРГАНЗ</t>
  </si>
  <si>
    <t xml:space="preserve">С - 3500 </t>
  </si>
  <si>
    <t xml:space="preserve"> 42 неделя 14-18 октября 2024 года </t>
  </si>
  <si>
    <t xml:space="preserve">41 неделя 07— 11 октября </t>
  </si>
  <si>
    <t>2+2</t>
  </si>
  <si>
    <t>С-3000,                              С-1500,                               Автоматика</t>
  </si>
  <si>
    <t>ООО "Лунда", г. Саратов</t>
  </si>
  <si>
    <t xml:space="preserve"> на тендер</t>
  </si>
  <si>
    <t>на тендер</t>
  </si>
  <si>
    <t xml:space="preserve">ПКФ ЭНЕРГОСТРОЙ </t>
  </si>
  <si>
    <t>3                       1</t>
  </si>
  <si>
    <t>E-7000                                 C-1500</t>
  </si>
  <si>
    <t>срок 6 месяцев</t>
  </si>
  <si>
    <t>ООО "РУСВОЛГА-КОММЕРЦ" ИНН 6320076923</t>
  </si>
  <si>
    <t xml:space="preserve">НПП Призма </t>
  </si>
  <si>
    <t>ДА 15/8</t>
  </si>
  <si>
    <t>ООО Исо ГРУПП МСК</t>
  </si>
  <si>
    <t xml:space="preserve">Котел С 1700 кВт                          Котел С 500 кВт </t>
  </si>
  <si>
    <t>ГАЗТОРГПРОМ Храмов</t>
  </si>
  <si>
    <t>S-5000</t>
  </si>
  <si>
    <t>31 млн</t>
  </si>
  <si>
    <r>
      <t xml:space="preserve">Промоборудование Энергомир </t>
    </r>
    <r>
      <rPr>
        <sz val="8"/>
        <color theme="1"/>
        <rFont val="Times New Roman"/>
        <family val="1"/>
        <charset val="204"/>
      </rPr>
      <t>(Заказчик: ООО «ТД Пластмасс Групп»</t>
    </r>
    <r>
      <rPr>
        <sz val="11"/>
        <color theme="1"/>
        <rFont val="Times New Roman"/>
        <family val="1"/>
        <charset val="204"/>
      </rPr>
      <t xml:space="preserve"> мск</t>
    </r>
  </si>
  <si>
    <t>Теплогазинжиниринг саратов</t>
  </si>
  <si>
    <t>ЧЗМЭК</t>
  </si>
  <si>
    <t>Энергоросстрой</t>
  </si>
  <si>
    <t>С-500                              E-1000;                          E-4000                                Е-3000</t>
  </si>
  <si>
    <t>3                            3                    3                            1</t>
  </si>
  <si>
    <t>20% - C;                   20% - E</t>
  </si>
  <si>
    <t>Бмк Энерголидер</t>
  </si>
  <si>
    <t>Теплогазстрой Пермь - котлы RIMAN</t>
  </si>
  <si>
    <t>Александр Орлов. Получил письмо, отдаст на рассмотрение в проектный отдел. Энтроросс и трехходовые котлы.</t>
  </si>
  <si>
    <t>Завод ПРОМГАЗ</t>
  </si>
  <si>
    <t>ООО ПОТАПГРЕЙД</t>
  </si>
  <si>
    <t>все по 1 + горелки</t>
  </si>
  <si>
    <t>обратная связь - хотел получить их в декабре. В феврале не подходит</t>
  </si>
  <si>
    <t>С-1000,                            С-1500,                          С-2000,                           С-3000</t>
  </si>
  <si>
    <t>Деаэратор 25/8</t>
  </si>
  <si>
    <t>E-4000+горелки</t>
  </si>
  <si>
    <t>7 мес, на тендер при переторжке применяли</t>
  </si>
  <si>
    <t>Бмк Энерголидер (наше КП вполне устроило)</t>
  </si>
  <si>
    <t xml:space="preserve">ГАЗТОРГ </t>
  </si>
  <si>
    <t>в планах аркус</t>
  </si>
  <si>
    <t>ЭнергоЛидер</t>
  </si>
  <si>
    <t>запрос на переторжку</t>
  </si>
  <si>
    <t xml:space="preserve">24.01.2024 было направлено письмо., 18.10 повторно. </t>
  </si>
  <si>
    <t>Контактное лицо - Алексей, как и говорил ранее организация занимается газопроводами. БМК занимается отдельно выделенная компания Термовольт.  Он контакты взял, т.к. вызывает сомнение чем дальше заниматься - Газпром беднее и беднее</t>
  </si>
  <si>
    <t>срок декабрь</t>
  </si>
  <si>
    <t>ООО Стройгаз НТ  (ниж тагил)</t>
  </si>
  <si>
    <t xml:space="preserve">СК Трейд/газтех </t>
  </si>
  <si>
    <t>С 750</t>
  </si>
  <si>
    <t>предлагают Метеор</t>
  </si>
  <si>
    <t>С-3500; С-2500</t>
  </si>
  <si>
    <t>4 ;  2</t>
  </si>
  <si>
    <t>просчет котельных на 25 год</t>
  </si>
  <si>
    <t>ООО Теплоэнергомонтаж</t>
  </si>
  <si>
    <t>ООО Южный ветер</t>
  </si>
  <si>
    <t>ООО НЕВА ПРИНТ</t>
  </si>
  <si>
    <t>ООО Газавтомат</t>
  </si>
  <si>
    <t>ООО КОНЕКС</t>
  </si>
  <si>
    <t>С-1200+ 2 горелки</t>
  </si>
  <si>
    <t>Договор выгружен в ЭДО</t>
  </si>
  <si>
    <t>28 октября —02.11</t>
  </si>
  <si>
    <t>S-2000</t>
  </si>
  <si>
    <t xml:space="preserve"> изм мощности</t>
  </si>
  <si>
    <t>E-4200</t>
  </si>
  <si>
    <t>6 мес</t>
  </si>
  <si>
    <t>Игорь Волгопромпоставка</t>
  </si>
  <si>
    <t xml:space="preserve">С-500 + горелки </t>
  </si>
  <si>
    <t>Д Совин ЕКБ</t>
  </si>
  <si>
    <t>С-1100 + горелки</t>
  </si>
  <si>
    <t xml:space="preserve"> подбор</t>
  </si>
  <si>
    <t xml:space="preserve">1. </t>
  </si>
  <si>
    <t>КОНВЕР</t>
  </si>
  <si>
    <t>С-1200 + 2 горелки</t>
  </si>
  <si>
    <t>925400+</t>
  </si>
  <si>
    <t>Волгопромпоставка Ульяновск</t>
  </si>
  <si>
    <t>С-500 х2+ горелки</t>
  </si>
  <si>
    <t>524000х2 540000х2</t>
  </si>
  <si>
    <t>5-8 ноября</t>
  </si>
  <si>
    <t>С-3500 С-2500</t>
  </si>
  <si>
    <t>3+1</t>
  </si>
  <si>
    <t>С-1600</t>
  </si>
  <si>
    <t>НЕВА ПРИНТ</t>
  </si>
  <si>
    <t>Веста газ</t>
  </si>
  <si>
    <t>Промэнергогаз НН</t>
  </si>
  <si>
    <t xml:space="preserve">на 2025год </t>
  </si>
  <si>
    <t>ООО «Завод «Нефтегазоборудование»</t>
  </si>
  <si>
    <t>С-2500 С-1500</t>
  </si>
  <si>
    <t>2+1</t>
  </si>
  <si>
    <t>горелки + автоматика</t>
  </si>
  <si>
    <t>запрос изготовления трубных досок по их чертежам</t>
  </si>
  <si>
    <t>БашВолгаТанкер</t>
  </si>
  <si>
    <t>Завод ГАЗПРОММАШ</t>
  </si>
  <si>
    <t xml:space="preserve">С-650 </t>
  </si>
  <si>
    <t>январь-февраль</t>
  </si>
  <si>
    <t>2025 год</t>
  </si>
  <si>
    <t>Сайт Ишимов</t>
  </si>
  <si>
    <t>мазут</t>
  </si>
  <si>
    <t>Рождествин  SITNO</t>
  </si>
  <si>
    <t>G6000</t>
  </si>
  <si>
    <t>G5000 8 бар</t>
  </si>
  <si>
    <t>Газтехторг Иошкар ола</t>
  </si>
  <si>
    <t>S-2500 8 бар</t>
  </si>
  <si>
    <t>ООО "Фабрика мороженого "Славица"</t>
  </si>
  <si>
    <t>S-1000 8 бар+ деаэратор</t>
  </si>
  <si>
    <t>Служба единого заказчика ЕКБ</t>
  </si>
  <si>
    <t>Кловер Групп</t>
  </si>
  <si>
    <t>С-4000 С-5000</t>
  </si>
  <si>
    <t>1 +1</t>
  </si>
  <si>
    <t>выбирают на 2025 год</t>
  </si>
  <si>
    <t xml:space="preserve"> на проект, пока сами не знаю что нужно</t>
  </si>
  <si>
    <t>С-1250 + панель</t>
  </si>
  <si>
    <t>АО «ВТЗ»</t>
  </si>
  <si>
    <t>G-10 000 8бар</t>
  </si>
  <si>
    <t>С-2500 С-3500</t>
  </si>
  <si>
    <t>1+3</t>
  </si>
  <si>
    <t>11-18 ноября</t>
  </si>
  <si>
    <t xml:space="preserve"> важны цена и сроки согласовывает руководствоа</t>
  </si>
  <si>
    <t>ООО Сборные конструкции МСК</t>
  </si>
  <si>
    <t>С-500 + горелкаДТ</t>
  </si>
  <si>
    <t>ООО ''Тепловые Системы Протон"</t>
  </si>
  <si>
    <t>С-1200+ горелки</t>
  </si>
  <si>
    <t>2 + 2</t>
  </si>
  <si>
    <t>явнарь - ферваль</t>
  </si>
  <si>
    <t>январь- февраль</t>
  </si>
  <si>
    <t>С-250 + горелка на отработке</t>
  </si>
  <si>
    <t>Энергомир Сметанин А</t>
  </si>
  <si>
    <t>ООО Самур (мск)</t>
  </si>
  <si>
    <t>С-2500 + горелка</t>
  </si>
  <si>
    <t>ООО ТЭГК</t>
  </si>
  <si>
    <t>С-2500 С4500</t>
  </si>
  <si>
    <t xml:space="preserve">ГЗС ГРУПП </t>
  </si>
  <si>
    <t>С-1500 + автоматика + комплект датчиков</t>
  </si>
  <si>
    <t>согласование с заказчиком</t>
  </si>
  <si>
    <t>С 500 С540</t>
  </si>
  <si>
    <t>ООО АктиВ Ростов</t>
  </si>
  <si>
    <t>котельная на 1050 квт</t>
  </si>
  <si>
    <t>Газпроммаш (350х3)</t>
  </si>
  <si>
    <t>С-500+С250 х2</t>
  </si>
  <si>
    <t>2 котельные по 2 Мвт</t>
  </si>
  <si>
    <t xml:space="preserve">47 неделя 18 —21 ноября </t>
  </si>
  <si>
    <t>48 неделя 25—29 ноября</t>
  </si>
  <si>
    <t>Индустрия стройтехнологий</t>
  </si>
  <si>
    <t>С-500+ автоматика</t>
  </si>
  <si>
    <t xml:space="preserve">С-250 </t>
  </si>
  <si>
    <t>в предложение заказчику.</t>
  </si>
  <si>
    <t>ГКМ (газкомлпектмонтаж)</t>
  </si>
  <si>
    <t>3х3х3х1х1</t>
  </si>
  <si>
    <t>С-1000, С-1500,            С-550 С-4000,С-5000</t>
  </si>
  <si>
    <t>Строй Дизар (проект</t>
  </si>
  <si>
    <t>ООО "Стройгазсервис" Ульяновск</t>
  </si>
  <si>
    <t>2х1х1х1х2х1х2</t>
  </si>
  <si>
    <t>3 проекта на 25 год</t>
  </si>
  <si>
    <t>С-4000; С-2500;//                С-1500; С-1750; С-3000;// С-1000; С-2000</t>
  </si>
  <si>
    <t>ПРОМГАЗ (Илья)</t>
  </si>
  <si>
    <t>котлы Бош</t>
  </si>
  <si>
    <t xml:space="preserve">С-5000 </t>
  </si>
  <si>
    <t>E-1000</t>
  </si>
  <si>
    <t>Кайрат Набережные челны</t>
  </si>
  <si>
    <t>АО "ЭНЕРГОРЕСУРСЫ" Ессентуки</t>
  </si>
  <si>
    <t>дорого</t>
  </si>
  <si>
    <t>C-4000 C-2000</t>
  </si>
  <si>
    <t>2   4</t>
  </si>
  <si>
    <t>думают как лучше на что хватит денег</t>
  </si>
  <si>
    <t>ПКФ Энергострой к паровым</t>
  </si>
  <si>
    <t>ДА 15/8+ обвязка</t>
  </si>
  <si>
    <t>проктно- монтажная орг, в работе 2 проекта</t>
  </si>
  <si>
    <t>также котлы БОШ</t>
  </si>
  <si>
    <t>Пороховой завод</t>
  </si>
  <si>
    <t>на рассмотрении</t>
  </si>
  <si>
    <t>Индустрия стройтехнологий (проект)</t>
  </si>
  <si>
    <t>Тариус Энерго (проект/монтаж)</t>
  </si>
  <si>
    <t>ГАЗТОРГ</t>
  </si>
  <si>
    <t>Мегаватт</t>
  </si>
  <si>
    <t>Энергомир</t>
  </si>
  <si>
    <t>С-1000 E 1000</t>
  </si>
  <si>
    <t>Деаэратор 15/8</t>
  </si>
  <si>
    <t>АО "Унихим с ОЗ"</t>
  </si>
  <si>
    <t>МУП "Каменская горэлектротеплосеть"</t>
  </si>
  <si>
    <t>1 + 3</t>
  </si>
  <si>
    <t>С- 250 С- 500</t>
  </si>
  <si>
    <t>С-1000 и С-1600</t>
  </si>
  <si>
    <t xml:space="preserve"> С-1750 С-3000</t>
  </si>
  <si>
    <t>котельная 4 мвт ( ленар)</t>
  </si>
  <si>
    <t>ИКСОР проектир, инж решения</t>
  </si>
  <si>
    <t>Магистраль</t>
  </si>
  <si>
    <t>ИП Завьялов</t>
  </si>
  <si>
    <t>ПКФ  Энергострой</t>
  </si>
  <si>
    <t>Котлы Бош</t>
  </si>
  <si>
    <t>Саратовская нефтегазовая компания</t>
  </si>
  <si>
    <t xml:space="preserve">ООО Теплосистемы </t>
  </si>
  <si>
    <t xml:space="preserve">С1500  С-1000 </t>
  </si>
  <si>
    <t>02— 06 декабря 2024 года</t>
  </si>
  <si>
    <t>1 1</t>
  </si>
  <si>
    <t>Приезд четверг-пт</t>
  </si>
  <si>
    <t>ООО Мегатакт</t>
  </si>
  <si>
    <t>6 млн</t>
  </si>
  <si>
    <t>Приезд среда - пятница</t>
  </si>
  <si>
    <t>С-500 С-1500</t>
  </si>
  <si>
    <t>1+2</t>
  </si>
  <si>
    <t>направлена информация. Ждут приглашения и программу на январь</t>
  </si>
  <si>
    <t>Альметьевск теплицы</t>
  </si>
  <si>
    <t>переданы СтрПрГаз</t>
  </si>
  <si>
    <t>нужны монтажники</t>
  </si>
  <si>
    <t>Ушли думать заказ до НГ</t>
  </si>
  <si>
    <t>ответ ожид 12-13</t>
  </si>
  <si>
    <t>ГУП СК "КРАЙТЕПЛОЭНЕРГО"</t>
  </si>
  <si>
    <t>С-2000 х2</t>
  </si>
  <si>
    <t>в работе</t>
  </si>
  <si>
    <t>предложено заказчику</t>
  </si>
  <si>
    <t>1 + 2</t>
  </si>
  <si>
    <t>АВД ФРАК МАСТЕР</t>
  </si>
  <si>
    <t>СТРОЙПРОМГАЗ</t>
  </si>
  <si>
    <t>ТД Мегатакт</t>
  </si>
  <si>
    <t xml:space="preserve">S-2500 8 бар </t>
  </si>
  <si>
    <t>КОНЕКС</t>
  </si>
  <si>
    <t>С-1200</t>
  </si>
  <si>
    <t>ноябрь</t>
  </si>
  <si>
    <t>E-4000 - 4 шт</t>
  </si>
  <si>
    <t>С-1750 - 3 шт</t>
  </si>
  <si>
    <t>С 500 - 4 шт</t>
  </si>
  <si>
    <t>С 750 - 4 шт</t>
  </si>
  <si>
    <t>С-1250 - 4 шт</t>
  </si>
  <si>
    <t>С-1000 - 8 шт</t>
  </si>
  <si>
    <t>С-2000 - 6 шт</t>
  </si>
  <si>
    <t>С-1500 - 2 шт</t>
  </si>
  <si>
    <t>С-3000 - 1 шт</t>
  </si>
  <si>
    <t>E-2500 - 3 шт</t>
  </si>
  <si>
    <t>Газпромнефть</t>
  </si>
  <si>
    <t>ТКУ-Саратов</t>
  </si>
  <si>
    <t>09—13 декабря</t>
  </si>
  <si>
    <t>Энка Инжиниринг</t>
  </si>
  <si>
    <t>Фрак Мастер</t>
  </si>
  <si>
    <t>опл 50%</t>
  </si>
  <si>
    <t>С-1120 С-620</t>
  </si>
  <si>
    <t>заказ январь</t>
  </si>
  <si>
    <t>С-2000  E-2000</t>
  </si>
  <si>
    <t>на выбор сроки и стоимость</t>
  </si>
  <si>
    <t>3+2</t>
  </si>
  <si>
    <t>С-4000 С-2000</t>
  </si>
  <si>
    <t>расчет при запуске в январе</t>
  </si>
  <si>
    <t>Всеволод ГБУ МСК</t>
  </si>
  <si>
    <t>нужен конец января</t>
  </si>
  <si>
    <t>E-7000 Е-6000</t>
  </si>
  <si>
    <t>С-270 С-1030</t>
  </si>
  <si>
    <t xml:space="preserve"> для расчета</t>
  </si>
  <si>
    <t xml:space="preserve"> Метакор -м</t>
  </si>
  <si>
    <t>Теплосистемы</t>
  </si>
  <si>
    <t>Газтехкомплект</t>
  </si>
  <si>
    <t>С-1000 С-1500</t>
  </si>
  <si>
    <t xml:space="preserve">С 500 </t>
  </si>
  <si>
    <t xml:space="preserve">С 750 </t>
  </si>
  <si>
    <t xml:space="preserve">С-1000 </t>
  </si>
  <si>
    <t xml:space="preserve">С-1750 </t>
  </si>
  <si>
    <t xml:space="preserve">С-2000 </t>
  </si>
  <si>
    <t xml:space="preserve">E-2500 </t>
  </si>
  <si>
    <t xml:space="preserve">E-4000 </t>
  </si>
  <si>
    <t>2 место</t>
  </si>
  <si>
    <t xml:space="preserve">  1 место</t>
  </si>
  <si>
    <t>3 место</t>
  </si>
  <si>
    <t>Оплачен счет</t>
  </si>
  <si>
    <t xml:space="preserve">  аванс 50% </t>
  </si>
  <si>
    <t>2 котла С-2500</t>
  </si>
  <si>
    <t>Итого продано за год 2024</t>
  </si>
  <si>
    <t>Были отказы по срокам поставки</t>
  </si>
  <si>
    <t>С-1300</t>
  </si>
  <si>
    <t>Запросы по году:</t>
  </si>
  <si>
    <t>СТРОГОНОВ (свинок)</t>
  </si>
  <si>
    <t>С-500+ автомат, горелки</t>
  </si>
  <si>
    <t>ООО "СОЮЗДОНСТРОЙ"</t>
  </si>
  <si>
    <t>С-500; С-420</t>
  </si>
  <si>
    <t>ФКУЗ Лесное озеро МВД</t>
  </si>
  <si>
    <t>E-5000 C-5000</t>
  </si>
  <si>
    <t>полный пакет на выбор</t>
  </si>
  <si>
    <t>ОлимпЭнергоПромСтрой</t>
  </si>
  <si>
    <t>С-1000, С-620 (750)</t>
  </si>
  <si>
    <t>Счет</t>
  </si>
  <si>
    <t>G-10 000 16 бар</t>
  </si>
  <si>
    <t>АО РЕАТЕКС</t>
  </si>
  <si>
    <t>S-500 + эконом+гор</t>
  </si>
  <si>
    <t>лидер малотоннажной химии среди предприятий России по выпуску продуктов неорганической химии (МСК)</t>
  </si>
  <si>
    <t>Элеватормельмаш</t>
  </si>
  <si>
    <t>Пещера монаха</t>
  </si>
  <si>
    <t>С-500+ горелка</t>
  </si>
  <si>
    <t>13— 17 января 2025 года</t>
  </si>
  <si>
    <t>20— 24 января 2025 года</t>
  </si>
  <si>
    <t>АО БТС Энерго</t>
  </si>
  <si>
    <t>ГК АСТЕРМ</t>
  </si>
  <si>
    <t>Кадомский РДК</t>
  </si>
  <si>
    <t>ООО « Теплоэнергомонтаж» </t>
  </si>
  <si>
    <t>ООО ПМК 64</t>
  </si>
  <si>
    <t>G-6500</t>
  </si>
  <si>
    <t>Сделки</t>
  </si>
  <si>
    <t>КСИ (С-1100 - 2 шт , С-620 - 1 шт)</t>
  </si>
  <si>
    <t>27—31 января 2025 года</t>
  </si>
  <si>
    <t>ООО КОМТЕХ Киров</t>
  </si>
  <si>
    <t>сбор Кп для закупки</t>
  </si>
  <si>
    <t>ООО ГазТеплоСтрой Киров</t>
  </si>
  <si>
    <t xml:space="preserve">Premium S-2000 12 бар Обвязка "Эконом" </t>
  </si>
  <si>
    <t>4 953 769.00</t>
  </si>
  <si>
    <t>ШАХБАН Махачкала</t>
  </si>
  <si>
    <t>С-500, С250</t>
  </si>
  <si>
    <t>собирается приехать</t>
  </si>
  <si>
    <t>S-3000x2 S-1000x1Обвязка комфорт</t>
  </si>
  <si>
    <t>22 203 860.00</t>
  </si>
  <si>
    <t>ПМК 64</t>
  </si>
  <si>
    <t>Premium S-1000 8 бар, Обвязка «Экном»</t>
  </si>
  <si>
    <t>5 976 200.00</t>
  </si>
  <si>
    <t>С-500, С-621</t>
  </si>
  <si>
    <t>актуализация от июля 24</t>
  </si>
  <si>
    <t>ООО ВЕНТУРА</t>
  </si>
  <si>
    <t>ООО МЕТАКОР-М</t>
  </si>
  <si>
    <t>С-500, С-1000</t>
  </si>
  <si>
    <t>Энгельсский водоканал</t>
  </si>
  <si>
    <t>С-750+ автоматика</t>
  </si>
  <si>
    <t xml:space="preserve">ООО АРИС </t>
  </si>
  <si>
    <t>С-2500+ горелка</t>
  </si>
  <si>
    <t>ООО Селз-Инжиниринг Краснодар</t>
  </si>
  <si>
    <t>С-250+ автоматика</t>
  </si>
  <si>
    <t xml:space="preserve">Нефтегазоборудование </t>
  </si>
  <si>
    <t>С-500 + автоматика</t>
  </si>
  <si>
    <t>S-500+ Эконом</t>
  </si>
  <si>
    <t>E-3000/C3000</t>
  </si>
  <si>
    <t>сроки цены на выбор</t>
  </si>
  <si>
    <t xml:space="preserve">АВД ФРАК МАСЕР </t>
  </si>
  <si>
    <t>расчет окончательный</t>
  </si>
  <si>
    <t>03—07 февраля 2025 года</t>
  </si>
  <si>
    <t xml:space="preserve">Стема -Сервис </t>
  </si>
  <si>
    <t xml:space="preserve">ДА 5/2 </t>
  </si>
  <si>
    <t>E-3000 C-3000</t>
  </si>
  <si>
    <t>ПРОМГАЗ (Ночевный)</t>
  </si>
  <si>
    <t>1  на выбор</t>
  </si>
  <si>
    <t>АО «Теплохиммонтаж»</t>
  </si>
  <si>
    <t>Энгельсводоканал</t>
  </si>
  <si>
    <t>Кировский ССК»</t>
  </si>
  <si>
    <t>S-2000 Эконом, ДА5/2</t>
  </si>
  <si>
    <t>ЖКХ Харабали</t>
  </si>
  <si>
    <t>E-5000 /C-5000</t>
  </si>
  <si>
    <t>ООО Теплоэнергетика г Усть-Катав</t>
  </si>
  <si>
    <t>C-3000/ C-3500</t>
  </si>
  <si>
    <t>С-3000+ горелки</t>
  </si>
  <si>
    <t>ПРОМГАЗ Домнышев</t>
  </si>
  <si>
    <t>МОНТАЖНАЯ КОМПАНИЯ "СМК" Проектные, монтажные и пуско-наладочные работы 8 922 028 69 55 АНТОН</t>
  </si>
  <si>
    <t>10-15 февраля 2025</t>
  </si>
  <si>
    <t>С-4000, С-5000</t>
  </si>
  <si>
    <t>4+3</t>
  </si>
  <si>
    <t>ТКУ Саратов</t>
  </si>
  <si>
    <t>С-1000 С-250</t>
  </si>
  <si>
    <t>ООО АЛЬФА</t>
  </si>
  <si>
    <t>С-500 С-1000 С-2000</t>
  </si>
  <si>
    <t>1+1+1</t>
  </si>
  <si>
    <t>Симбирев</t>
  </si>
  <si>
    <t xml:space="preserve">ГАЗКОМ </t>
  </si>
  <si>
    <t>S-1000 8б, эконом</t>
  </si>
  <si>
    <t>Строй Пром газ (пенза)</t>
  </si>
  <si>
    <t>S-1000 8б, комфорт</t>
  </si>
  <si>
    <t>СпециалистСтроитель  (челяб)</t>
  </si>
  <si>
    <t>С-800, С-3000, С-2000</t>
  </si>
  <si>
    <t>2+2+1</t>
  </si>
  <si>
    <t>С-6000 E-8000</t>
  </si>
  <si>
    <t>2+4</t>
  </si>
  <si>
    <t>С-5000 E-8000</t>
  </si>
  <si>
    <t xml:space="preserve"> 1 + 2 </t>
  </si>
  <si>
    <t>С-1500+Г</t>
  </si>
  <si>
    <t>17-21  февраля 2025 года</t>
  </si>
  <si>
    <t>ЗиоСАБ</t>
  </si>
  <si>
    <t xml:space="preserve">С-760 </t>
  </si>
  <si>
    <t>ЗиОСАБ</t>
  </si>
  <si>
    <t>С-750 С-1250</t>
  </si>
  <si>
    <t>Армтэк</t>
  </si>
  <si>
    <t>С-740 С-1200</t>
  </si>
  <si>
    <t xml:space="preserve"> С-2000, С-400</t>
  </si>
  <si>
    <t>ФлэмЭйр</t>
  </si>
  <si>
    <t>E-10 000 E-5500</t>
  </si>
  <si>
    <t>5+1</t>
  </si>
  <si>
    <t>срок важен</t>
  </si>
  <si>
    <t>Первая газовая</t>
  </si>
  <si>
    <t xml:space="preserve">E-10 000 </t>
  </si>
  <si>
    <t>С-700</t>
  </si>
  <si>
    <t>нужен из наличия</t>
  </si>
  <si>
    <t>эконом, деаэр, эконом</t>
  </si>
  <si>
    <t>S-1000, ДА-1</t>
  </si>
  <si>
    <t xml:space="preserve">С-2500 </t>
  </si>
  <si>
    <t xml:space="preserve">ВЕНТУРА </t>
  </si>
  <si>
    <t>С-501 С-621</t>
  </si>
  <si>
    <t>перерасчет в тех документ</t>
  </si>
  <si>
    <t>ПРОМЭНЕРГОГАЗ НН</t>
  </si>
  <si>
    <t>С-2500 С-4000 С-5000</t>
  </si>
  <si>
    <t>2+1+1</t>
  </si>
  <si>
    <t xml:space="preserve"> согласование объектов</t>
  </si>
  <si>
    <t>Винный завод Избербаш</t>
  </si>
  <si>
    <t>24-28  февраля 2025 года</t>
  </si>
  <si>
    <t>не подходит расход газа</t>
  </si>
  <si>
    <t>G-6000 8 бар</t>
  </si>
  <si>
    <t>37 млн</t>
  </si>
  <si>
    <t>ООО "ГТС" (Городские Тепло Системы) МСК</t>
  </si>
  <si>
    <t>С-500 С-1000</t>
  </si>
  <si>
    <t>ООО "Снабжение"</t>
  </si>
  <si>
    <t>для куйбышевского НПЗ сбор КП  на формирование бюджета</t>
  </si>
  <si>
    <t>Сагаз</t>
  </si>
  <si>
    <t>С-3000 С-2000</t>
  </si>
  <si>
    <t>БМК8.0 МВт п. Жилево</t>
  </si>
  <si>
    <t>ООО ТЦ Континент</t>
  </si>
  <si>
    <t>омск,  на рампе</t>
  </si>
  <si>
    <t>E-2500 E-3000</t>
  </si>
  <si>
    <t>C-1400 C1200 C-1000</t>
  </si>
  <si>
    <t>ООО Источник</t>
  </si>
  <si>
    <t xml:space="preserve">ИП Кожура </t>
  </si>
  <si>
    <t>С-400+ горелка</t>
  </si>
  <si>
    <t>Поступление  денег</t>
  </si>
  <si>
    <t>(остаток 1,5 млн)</t>
  </si>
  <si>
    <t>сделка закрыта</t>
  </si>
  <si>
    <t>03-07  марта 2025 года</t>
  </si>
  <si>
    <t xml:space="preserve"> сроки. Решение 10-15.03</t>
  </si>
  <si>
    <t>СЗЕ СИНТЕЗ (сайт)</t>
  </si>
  <si>
    <t>С-750+ компл</t>
  </si>
  <si>
    <t>С-1750 С- 2000</t>
  </si>
  <si>
    <t>в проект</t>
  </si>
  <si>
    <t>E-1500</t>
  </si>
  <si>
    <t>формирование бюджета тендера</t>
  </si>
  <si>
    <t>ООО «Бантер Групп» (сайт)</t>
  </si>
  <si>
    <t>ИП Вишнякова (сайт)</t>
  </si>
  <si>
    <t>Тендер участие</t>
  </si>
  <si>
    <t>E-8000</t>
  </si>
  <si>
    <t>март 2025 (из налич)</t>
  </si>
  <si>
    <t>отдельный договор март</t>
  </si>
  <si>
    <t>ГАЗТОРГ (Храмов)</t>
  </si>
  <si>
    <t>С-1000, С-2500, С-3000</t>
  </si>
  <si>
    <t>сравнение с Аркусом</t>
  </si>
  <si>
    <t>сроки</t>
  </si>
  <si>
    <t>СК-Газ Уланов</t>
  </si>
  <si>
    <t>сроки нужны короткие. Согласовывает с заказчиком</t>
  </si>
  <si>
    <t>Махачкала</t>
  </si>
  <si>
    <t>С-250, С-500</t>
  </si>
  <si>
    <t>Адерус-Центр</t>
  </si>
  <si>
    <t>?</t>
  </si>
  <si>
    <t>2. Количество выставленных КП —16</t>
  </si>
  <si>
    <t>ЧОУ ДПО ЦПО Энергетик (Чебоксары сайт)</t>
  </si>
  <si>
    <t>С-1000+горелка</t>
  </si>
  <si>
    <t>Гидрострой</t>
  </si>
  <si>
    <t>Рационал/Сфера Комфорта</t>
  </si>
  <si>
    <t>E-6000 /C-6000</t>
  </si>
  <si>
    <t>C-750 C-500+горелки</t>
  </si>
  <si>
    <t>КП для формирования бюджета</t>
  </si>
  <si>
    <t>1. Количество заявок на котлы —18</t>
  </si>
  <si>
    <t>С1250 С-250</t>
  </si>
  <si>
    <t>Аркус трехходовые за такие цены предлагает</t>
  </si>
  <si>
    <t>3. Количество выставленных счетов  — 1    — ВЕНТУРА (С-501- 1шт  С-621-1 шт) 1 325 250,00</t>
  </si>
  <si>
    <t xml:space="preserve">4. Количество сделок  - 0 </t>
  </si>
  <si>
    <t>5. Сумма сделок-  0</t>
  </si>
  <si>
    <t>10-14 марта2025</t>
  </si>
  <si>
    <t>С-6000</t>
  </si>
  <si>
    <t>ООО "ТКП "Крымторг"</t>
  </si>
  <si>
    <t>Теплосервис</t>
  </si>
  <si>
    <t>С-300</t>
  </si>
  <si>
    <t>запрос на проектирование</t>
  </si>
  <si>
    <t>Пермские теплицы (сайт)</t>
  </si>
  <si>
    <t>С-3000, С-1750</t>
  </si>
  <si>
    <t>подбирает котлы вместо газопоршневых установок</t>
  </si>
  <si>
    <t>ООО КОМП</t>
  </si>
  <si>
    <t>С-1350, С-2150</t>
  </si>
  <si>
    <t>ИП Хватов</t>
  </si>
  <si>
    <t>Котельная в Балаково</t>
  </si>
  <si>
    <t xml:space="preserve">для предложения </t>
  </si>
  <si>
    <t>С-800 С-1000</t>
  </si>
  <si>
    <t>ГАЗторг</t>
  </si>
  <si>
    <t>S-1500 8 бар, эконом</t>
  </si>
  <si>
    <t xml:space="preserve">E-1500 10 бар </t>
  </si>
  <si>
    <t>ИЦ</t>
  </si>
  <si>
    <t>С-2500 С-2000</t>
  </si>
  <si>
    <t>4. Количество выставленных счетов  — 1    — ИП Мишуков (С-400- 2 шт ) 973 000,00</t>
  </si>
  <si>
    <t xml:space="preserve">5. Количество сделок  - 1 </t>
  </si>
  <si>
    <t>6. Сумма сделок- 973000,00</t>
  </si>
  <si>
    <t>3 Количество по новым клиентам — 12 по Ульяновску , из них 3 нов+) Волгоград  начала</t>
  </si>
  <si>
    <t xml:space="preserve">Заказчик в г. Челябинске АО "Теплоприбор" </t>
  </si>
  <si>
    <t>С-2900 С-2300                Е-2900 Е 2300</t>
  </si>
  <si>
    <t>ARCUS IGNIS G в качестве аналога</t>
  </si>
  <si>
    <t>17-21 марта 2025</t>
  </si>
  <si>
    <t xml:space="preserve">ООО "ГЗС-Групп" </t>
  </si>
  <si>
    <t>Промтрейдсервис (сайт)</t>
  </si>
  <si>
    <t>С-700,С-1000,С-1500</t>
  </si>
  <si>
    <t>ГАЗСИНТЕЗ</t>
  </si>
  <si>
    <t>Е-5000 С-5000</t>
  </si>
  <si>
    <t>4+4</t>
  </si>
  <si>
    <t>на выбор</t>
  </si>
  <si>
    <t>S-1500 8 бар, Экон</t>
  </si>
  <si>
    <t>ЦентрПроект</t>
  </si>
  <si>
    <t>С-3500, G-8000</t>
  </si>
  <si>
    <t>3+4</t>
  </si>
  <si>
    <t>предложили взамен лаварата</t>
  </si>
  <si>
    <t>С-750 С-600</t>
  </si>
  <si>
    <t>предлагают клиенту</t>
  </si>
  <si>
    <t>ИП Павлов (мск)</t>
  </si>
  <si>
    <t>на тендер Лесное озеро</t>
  </si>
  <si>
    <t>С-1000 С-1750</t>
  </si>
  <si>
    <t>КД-Урал</t>
  </si>
  <si>
    <t>E-2000 E-1000</t>
  </si>
  <si>
    <t>выбирает что ставить</t>
  </si>
  <si>
    <t xml:space="preserve">1+ 1+ 1 </t>
  </si>
  <si>
    <t>С-1100 С-620</t>
  </si>
  <si>
    <t>ИП Кожура</t>
  </si>
  <si>
    <t>Вентура</t>
  </si>
  <si>
    <t>С-501 С-620</t>
  </si>
  <si>
    <t xml:space="preserve">3 Количество по новым клиентам — 10 по Волгограду </t>
  </si>
  <si>
    <t>6. Сумма сделок- 0</t>
  </si>
  <si>
    <t>24—27 марта</t>
  </si>
  <si>
    <t>Газстрой Дзержинск</t>
  </si>
  <si>
    <t>S-1500 8 бар</t>
  </si>
  <si>
    <t>защита Проекта</t>
  </si>
  <si>
    <t>E-3500 E-10000</t>
  </si>
  <si>
    <t>ИП Соколов (сайт)</t>
  </si>
  <si>
    <t>ДА 50/100 с обвязкой</t>
  </si>
  <si>
    <t>5. Количество сделок  - 1</t>
  </si>
  <si>
    <t>КД Урал</t>
  </si>
  <si>
    <t>С-2000 С-1100</t>
  </si>
  <si>
    <t xml:space="preserve">2 +1 </t>
  </si>
  <si>
    <t xml:space="preserve"> АВД ФРАК МАСТЕР - С-2500 оплата 100%</t>
  </si>
  <si>
    <t>6. Сумма сделок- 3 583 500,00</t>
  </si>
  <si>
    <t xml:space="preserve">Призма </t>
  </si>
  <si>
    <t>С -3000 С-1000</t>
  </si>
  <si>
    <t>С-1000 С- 1500</t>
  </si>
  <si>
    <t>E-10 000</t>
  </si>
  <si>
    <t>АО Тяжмаш (почта)</t>
  </si>
  <si>
    <t>запрос на водотрубные котлы для тендера</t>
  </si>
  <si>
    <t>Дом Света (почта)</t>
  </si>
  <si>
    <t>G-6000 12 бар</t>
  </si>
  <si>
    <t>поставка в Башкирию, конкуренты Киьтайцы</t>
  </si>
  <si>
    <t>Дюпад (Пермь) звонок</t>
  </si>
  <si>
    <t>3 Количество по новым клиентам —   напоминала старым</t>
  </si>
  <si>
    <t>31.03—04.04</t>
  </si>
  <si>
    <t>Са ГАЗ</t>
  </si>
  <si>
    <t>С-1500 С-1750</t>
  </si>
  <si>
    <t>Штольф</t>
  </si>
  <si>
    <t>С-3000 С-1500</t>
  </si>
  <si>
    <t>на просчет котельной</t>
  </si>
  <si>
    <t>ООО Северная компания</t>
  </si>
  <si>
    <t>ГУП СК Крайтеплоэнерго</t>
  </si>
  <si>
    <t>С-400, С-630 +горелка</t>
  </si>
  <si>
    <t>4. Количество выставленных счетов  — 1 СаГАЗ (С-1000=909 000,00)</t>
  </si>
  <si>
    <t>АО Ямалкоммунэнерго</t>
  </si>
  <si>
    <t>С-5000 E-5000</t>
  </si>
  <si>
    <t>3+3</t>
  </si>
  <si>
    <t>в проект 25-26 год</t>
  </si>
  <si>
    <t>E-3500 E-10 000</t>
  </si>
  <si>
    <t xml:space="preserve"> предлагают в Тяжмаш</t>
  </si>
  <si>
    <t xml:space="preserve">АО Тяжмаш </t>
  </si>
  <si>
    <t>автоматика, запор клап</t>
  </si>
  <si>
    <t>к Е 10 000</t>
  </si>
  <si>
    <t>ИТЦ ГАЗПРОЕКТ</t>
  </si>
  <si>
    <t>1. Количество заявок на котлы —10</t>
  </si>
  <si>
    <t>2. Количество выставленных КП —10</t>
  </si>
  <si>
    <t>перекуп</t>
  </si>
  <si>
    <t>С-750 С-1000</t>
  </si>
  <si>
    <t>ГазКомУралСервис</t>
  </si>
  <si>
    <t>07—11 апреля 2024</t>
  </si>
  <si>
    <t>согласование закупки/ финансирование</t>
  </si>
  <si>
    <t>E-700</t>
  </si>
  <si>
    <t xml:space="preserve">для участия в тендере </t>
  </si>
  <si>
    <t>Континент (почта)</t>
  </si>
  <si>
    <t>Уралмеханобр (почта)</t>
  </si>
  <si>
    <t>для сметы</t>
  </si>
  <si>
    <t>C-1000</t>
  </si>
  <si>
    <t>Сбор КП для  форм цены</t>
  </si>
  <si>
    <t>Оружейные мастерские</t>
  </si>
  <si>
    <t>С-2500+ гор + автом</t>
  </si>
  <si>
    <t>ГазТеплоСтрой</t>
  </si>
  <si>
    <t>S-2000 8 бар</t>
  </si>
  <si>
    <t>эконом</t>
  </si>
  <si>
    <t>S-2000 12 бар+ ДА3</t>
  </si>
  <si>
    <t>Энергомир ЕКБ</t>
  </si>
  <si>
    <t>ООО "Авангард Строй Трест" (почта)</t>
  </si>
  <si>
    <t>С-500 или С-700</t>
  </si>
  <si>
    <t xml:space="preserve"> борьба с энтророссом</t>
  </si>
  <si>
    <t>С-720 С-1000</t>
  </si>
  <si>
    <t>С-3000+ горелка</t>
  </si>
  <si>
    <t>1100 + 1250+ 500</t>
  </si>
  <si>
    <t>ООО УС ГРУППА СИНТЕХ Инжиниринг (дагестан)</t>
  </si>
  <si>
    <t>3. Количество по новым клиентам —   5</t>
  </si>
  <si>
    <t>нов + горелка</t>
  </si>
  <si>
    <t>информация о заводе</t>
  </si>
  <si>
    <t>14-18 апреля 2025</t>
  </si>
  <si>
    <t>С-3600</t>
  </si>
  <si>
    <t>размещение  конец мая - июнь</t>
  </si>
  <si>
    <t>Экономайзер 1000</t>
  </si>
  <si>
    <t>EQS 1000</t>
  </si>
  <si>
    <t>монтаж/проект/строит</t>
  </si>
  <si>
    <t>НГС</t>
  </si>
  <si>
    <t>подбор</t>
  </si>
  <si>
    <t>С-3000 (зауженый)</t>
  </si>
  <si>
    <t>нужно еще уже</t>
  </si>
  <si>
    <t>4. Количество выставленных счетов  — 1 (554 762,00 горелки к С-400)</t>
  </si>
  <si>
    <t>СПГ ПЕНЗА</t>
  </si>
  <si>
    <t>С-500, С-450</t>
  </si>
  <si>
    <t>25%-27,5%</t>
  </si>
  <si>
    <t>на просчет спецификации</t>
  </si>
  <si>
    <t>КСИ размещено в проект</t>
  </si>
  <si>
    <t>3. Количество по новым клиентам —   Атриум,Стема-сервис, Газпромнефть</t>
  </si>
  <si>
    <t>ООО "ТС Санмикс" и ООО "Ресан" Сантехника, Крепеж и инструмент сайт</t>
  </si>
  <si>
    <t>Континент сайт</t>
  </si>
  <si>
    <t>Авангард строй трест сайт</t>
  </si>
  <si>
    <t>21—25 апреля</t>
  </si>
  <si>
    <t>С-500+ панели</t>
  </si>
  <si>
    <t xml:space="preserve">4. Количество выставленных счетов  — 1 (1 152 000,00)  </t>
  </si>
  <si>
    <t>6. Сумма сделок- 554 762,00</t>
  </si>
  <si>
    <t>С-4000+ гоерлка</t>
  </si>
  <si>
    <t xml:space="preserve">С-1400 </t>
  </si>
  <si>
    <t>С-600</t>
  </si>
  <si>
    <t>Котлосервис (шахбан )</t>
  </si>
  <si>
    <t>С-500; С-700</t>
  </si>
  <si>
    <t>горелки для С 400</t>
  </si>
  <si>
    <t>ООО "Строительные ресурсы"</t>
  </si>
  <si>
    <t>Верола Самара</t>
  </si>
  <si>
    <t>С-1000 E-1000</t>
  </si>
  <si>
    <t>1. Количество заявок на котлы —7</t>
  </si>
  <si>
    <t>3. Количество по новым клиентам —   котлы/заявки до декабря 23 года</t>
  </si>
  <si>
    <t>ПРОМЭНЕРГОГАЗ</t>
  </si>
  <si>
    <t>28-30 апреля 2025</t>
  </si>
  <si>
    <t>Энергомир (актуализация)</t>
  </si>
  <si>
    <t>С-2500 С-4000</t>
  </si>
  <si>
    <t>ООО НПФ "ГКС"</t>
  </si>
  <si>
    <t>информация о компании</t>
  </si>
  <si>
    <t>Архангельск</t>
  </si>
  <si>
    <t>С250+горелка)</t>
  </si>
  <si>
    <t>для Сережи</t>
  </si>
  <si>
    <t>5-7 мая</t>
  </si>
  <si>
    <t xml:space="preserve">Тремопойнт </t>
  </si>
  <si>
    <t>С-750 С-500</t>
  </si>
  <si>
    <t>E-1500 /C-1500</t>
  </si>
  <si>
    <t xml:space="preserve">3 шт </t>
  </si>
  <si>
    <t>подбираем горелки</t>
  </si>
  <si>
    <t>аналог энтроросса подбирают</t>
  </si>
  <si>
    <t>Левел (почта)</t>
  </si>
  <si>
    <t>Бош</t>
  </si>
  <si>
    <t>ГК «Новый Дон»</t>
  </si>
  <si>
    <t>СК «Град»</t>
  </si>
  <si>
    <t>Лада-Дом</t>
  </si>
  <si>
    <t>Группа компаний «БЕРЕГ»</t>
  </si>
  <si>
    <t>Трансгруз</t>
  </si>
  <si>
    <t>СЗ «КРИПТОСТРОЙ»</t>
  </si>
  <si>
    <t>Виктор и Ко</t>
  </si>
  <si>
    <t>СПЕЦИАЛИЗИРОВАННЫЙ ЗАСТРОЙЩИК СИЛГРУПП</t>
  </si>
  <si>
    <t>Альянс-Менеджмент</t>
  </si>
  <si>
    <t>ГК «Развитие»</t>
  </si>
  <si>
    <t xml:space="preserve">Древо </t>
  </si>
  <si>
    <t>Радамира</t>
  </si>
  <si>
    <t>Нааименование</t>
  </si>
  <si>
    <t>Монтажник -ПромЭнергоГаз. В этом году заложили наши котлы в проект С-4000 - 2 шт, в этом году будет 1 котел. С- 3500 котлы согласовывают.</t>
  </si>
  <si>
    <t>В проект (делали сами) заоложили 2 котла С-1250 (размещ -июнь): еще одна котельная С-2000 С-400</t>
  </si>
  <si>
    <t>В этом году в проекте была еще одна такая же котельная E-4000 - дубль. Но перенесена на след год, из-за отсутствия финансирования. Делают крышные котельные на конденсационных котлах</t>
  </si>
  <si>
    <t>С-2500 - берет  по 2 котла в квартал</t>
  </si>
  <si>
    <t>ООО САГАЗ/Армтэк</t>
  </si>
  <si>
    <t>В этом году ставить не будут, строят корпуса PREMIUM С-1000   - на 2026 перенесли</t>
  </si>
  <si>
    <t>Котлотехсервис</t>
  </si>
  <si>
    <t>Котлосервис</t>
  </si>
  <si>
    <t>Домком</t>
  </si>
  <si>
    <t>АСТ-Сервис</t>
  </si>
  <si>
    <t>СМУ-У</t>
  </si>
  <si>
    <t>Прометей</t>
  </si>
  <si>
    <t>Применяют котлы ЗКО, ГЕРМЕС,МЕТЕОР. Все - есть</t>
  </si>
  <si>
    <t>Подрядчики Самара</t>
  </si>
  <si>
    <t>Строится  домов</t>
  </si>
  <si>
    <t>Премьера</t>
  </si>
  <si>
    <t>ГК Железно</t>
  </si>
  <si>
    <t>DARS</t>
  </si>
  <si>
    <t>Инвестспецстрой</t>
  </si>
  <si>
    <t>MN GROUP</t>
  </si>
  <si>
    <t>ЖК СОСНЫ 7-10</t>
  </si>
  <si>
    <t>В планах замена паровых котлов. Сменилось начальство, затормозили обновление. Хотя дефектные акты уже оформлены.</t>
  </si>
  <si>
    <t xml:space="preserve"> В этом году мощность C 3000, брали Кп - не проходят по габаритам. Надо Уже</t>
  </si>
  <si>
    <t>12-16 мая</t>
  </si>
  <si>
    <t>ООО Теплоснабжение (Бугуруслан)</t>
  </si>
  <si>
    <t>Термопоинт</t>
  </si>
  <si>
    <t>Автоматика</t>
  </si>
  <si>
    <t>май</t>
  </si>
  <si>
    <t>4. Количество выставленных счетов  — 3 (1 354 860,00)  (207 000,00) (821 880,00)</t>
  </si>
  <si>
    <t>6. Сумма сделок- 7 945 800,00</t>
  </si>
  <si>
    <t>ВЕНТЭлектро (почта)</t>
  </si>
  <si>
    <t>1. Количество заявок на котлы —5</t>
  </si>
  <si>
    <t>2. Количество выставленных КП —5</t>
  </si>
  <si>
    <t>3. Количество по новым клиентам —   4</t>
  </si>
  <si>
    <t>ЭнергостройСервис</t>
  </si>
  <si>
    <t xml:space="preserve">Пламя - сервисно монтажное </t>
  </si>
  <si>
    <t>котлы маленькие не более 90 квт. С застрйощиками не работают,т.к. они все закупают сами. И котлы мелкие для крышных котельных</t>
  </si>
  <si>
    <t>информация к концу недели или след, проект запускается в июне</t>
  </si>
  <si>
    <t>закупка конец мая - июнь</t>
  </si>
  <si>
    <t>Актуальные тепловые энергетические системы"</t>
  </si>
  <si>
    <t>19-23 мая</t>
  </si>
  <si>
    <t>Ип Владимиров ЕКБ</t>
  </si>
  <si>
    <t>цена от Константина</t>
  </si>
  <si>
    <t>СК Плеяда</t>
  </si>
  <si>
    <t>С-1000+ горелки</t>
  </si>
  <si>
    <t>5/4 шт</t>
  </si>
  <si>
    <t>E-4000/E5000 10 бар</t>
  </si>
  <si>
    <t>E-4000 10 бар</t>
  </si>
  <si>
    <t>УС ГРУППА Сантех инжиниринг Дагестан</t>
  </si>
  <si>
    <t>С-500/С-250</t>
  </si>
  <si>
    <t>Автоматика самара</t>
  </si>
  <si>
    <t>для предложения в проект</t>
  </si>
  <si>
    <t>СагАЗ</t>
  </si>
  <si>
    <t>ООО "ТК "ТАМАЛ" (письмо на почту</t>
  </si>
  <si>
    <t>компания специализируется на поставках оборудования и материалов для нефтегазовой промышленности</t>
  </si>
  <si>
    <t>ВИРАКОН (Самара) письмо на почту</t>
  </si>
  <si>
    <t>С-3500                     С-2500                   С-500</t>
  </si>
  <si>
    <t>С-500 (400)</t>
  </si>
  <si>
    <t>закрыта сделка СаГАЗ</t>
  </si>
  <si>
    <t>3. Количество по новым клиентам —  11</t>
  </si>
  <si>
    <t>наличие</t>
  </si>
  <si>
    <t>6. Сумма сделок- 1 500 000,00</t>
  </si>
  <si>
    <t>4. Количество выставленных счетов  — 1 (909 000,00)  С -1000 договор подписан</t>
  </si>
  <si>
    <t>ООО «СГК СЕРВИС»</t>
  </si>
  <si>
    <t>26-30 мая 2025</t>
  </si>
  <si>
    <t>СтройХимМонтаж Шадрин Алексей (ЕКБ)</t>
  </si>
  <si>
    <t>2 половина июня - комиссия по приемке, результат</t>
  </si>
  <si>
    <t>ООО СЗ-Дом-75 директор Катин Александр Леонидович, ООО Стройком</t>
  </si>
  <si>
    <t>Не заинтересовало. Спасибо</t>
  </si>
  <si>
    <t>Рекомендовано переотправить на другую почту. Повторно отправлено 28.05.</t>
  </si>
  <si>
    <t>директор Доронин Антон Геннадиевич, надо звонить секретарь согласна соединить с директором как он будет</t>
  </si>
  <si>
    <t>Технический директор Губерман Евгений Семенович</t>
  </si>
  <si>
    <t>ООО ПромКомплектСервис</t>
  </si>
  <si>
    <t>глинская там больше не работает. ВымпелГаз 8 846 268 81 81 - главный инженер Петров Алексей Алекандрович, Борисова Ольга Андреевна -директор. Техническое обслуживание. Скоро будет ревизия 6 мвт котла, заканчивается срок службы.</t>
  </si>
  <si>
    <t>ООО Вымпелгрупп</t>
  </si>
  <si>
    <t>закупками занимается Татьяна Паникарова, новый  начальник отдела проектирования Иван Удальцов Работают над проектами для Древо и СК ЮГ</t>
  </si>
  <si>
    <t>С-270х2+Г+Авт</t>
  </si>
  <si>
    <t>дорого, взяли россены</t>
  </si>
  <si>
    <t>S-1000х2 эконом</t>
  </si>
  <si>
    <t>Договор, сроки</t>
  </si>
  <si>
    <t xml:space="preserve">Источник </t>
  </si>
  <si>
    <t>С-1000 С-500</t>
  </si>
  <si>
    <t>УС ГРУППА Сантех Инжиниринг</t>
  </si>
  <si>
    <t>С-4000 из наличия</t>
  </si>
  <si>
    <t>30%-40 тыс</t>
  </si>
  <si>
    <t>цена аркуса</t>
  </si>
  <si>
    <t>ООО САДЕРО (сайт)</t>
  </si>
  <si>
    <t>ООО Континент (сайт)</t>
  </si>
  <si>
    <t>ИКСОШ (сайт)</t>
  </si>
  <si>
    <t>Денис Козлов проектировщик</t>
  </si>
  <si>
    <t>для предложения заказчику</t>
  </si>
  <si>
    <t>ИП Владимиров (ЕКБ)</t>
  </si>
  <si>
    <t>С-500 С-700</t>
  </si>
  <si>
    <t>на замену котлов</t>
  </si>
  <si>
    <t>ГазТОРГ (храмов)</t>
  </si>
  <si>
    <t>1+1+1+1+0</t>
  </si>
  <si>
    <t>обв эконом</t>
  </si>
  <si>
    <t xml:space="preserve">Ортеплосервис </t>
  </si>
  <si>
    <t>в наш тендер</t>
  </si>
  <si>
    <t>САМАРСКИЕ ТЕПЛОВЫЕ СЕТИ ФИЛИАЛ ОАО ВОЛЖСКАЯ ТГК</t>
  </si>
  <si>
    <t xml:space="preserve"> «Предприятие тепловых сетей»
Производственно-техническое управление</t>
  </si>
  <si>
    <t xml:space="preserve"> СПНУ Техэнерго
Пусконаладочные работы объектов теплоэнергетики</t>
  </si>
  <si>
    <t>«СамРЭК-Эксплуатация»</t>
  </si>
  <si>
    <t>Предприятие тепловых сетей, Производственно-складская база ПТС</t>
  </si>
  <si>
    <t xml:space="preserve"> СУТЭК, энергосбытовая фирма, ЗАО Самарская управляющая теплоэнергетическая компания</t>
  </si>
  <si>
    <t>САМАРСКИЕ ТЕПЛОВЫЕ СЕТИ 1-Й СЕТЕВОЙ РАЙОН</t>
  </si>
  <si>
    <t>САМАРСКИЕ ТЕПЛОВЫЕ СЕТИ СЛУЖБА РЕМОНТОВ</t>
  </si>
  <si>
    <t>ТЕПЛОГАЗОСНАБЖЕНИЕ ИТК</t>
  </si>
  <si>
    <t>S-1000, 1500,2000,              2500, 4000</t>
  </si>
  <si>
    <t>Ресурсоснабжающие</t>
  </si>
  <si>
    <t>Застройщики</t>
  </si>
  <si>
    <t>Аспирация, ООО НН</t>
  </si>
  <si>
    <t xml:space="preserve"> С-4000</t>
  </si>
  <si>
    <t>из наличия. Ждут определения кто будет платить</t>
  </si>
  <si>
    <t>Стема-Сервис</t>
  </si>
  <si>
    <t>Строй ВОК  монтаж газовых котельных</t>
  </si>
  <si>
    <t>ООО ВымпелГАЗ</t>
  </si>
  <si>
    <t>Теплостройсервис</t>
  </si>
  <si>
    <t>Профгазсервис самара</t>
  </si>
  <si>
    <t>Байгаскина Н.Е. зам главного инженера, не особо идет на контакт</t>
  </si>
  <si>
    <t>в последний год не делали ни одной котельной и сейчас не видно</t>
  </si>
  <si>
    <t>Нестеров Никита;  spnu-tech@yandex.ru; 8 (927) 713-01-96</t>
  </si>
  <si>
    <t>Нач материально технич снабжения Кузнецова Ирина Владимировна. Не закупают и не ремонтируют котлы, только прокладкой/заменой сетей до котельных</t>
  </si>
  <si>
    <t>Зам. Главного Инженера Малышев Александр Владимирович. Занимаются эксплуатацией, не ставят новое. Турбулизаторы закупает снабжение</t>
  </si>
  <si>
    <t xml:space="preserve"> «СамГрЭС»</t>
  </si>
  <si>
    <t>02-06 июня 2025</t>
  </si>
  <si>
    <t>6. Сумма сделок- 912 000,00</t>
  </si>
  <si>
    <t xml:space="preserve">4. Количество выставленных счетов  —  </t>
  </si>
  <si>
    <t>КЭР Энерджи</t>
  </si>
  <si>
    <t>S-1500 8 эконом</t>
  </si>
  <si>
    <t>E-4000 Е-2500</t>
  </si>
  <si>
    <t>СГС пенза</t>
  </si>
  <si>
    <t>1+ обв</t>
  </si>
  <si>
    <t>Скрипальщиков (сайт)</t>
  </si>
  <si>
    <t>мониторинг по РФ кто дешевле</t>
  </si>
  <si>
    <t>АО ТХМ Промпечь</t>
  </si>
  <si>
    <t>С-750 С-1500</t>
  </si>
  <si>
    <t>ПРОМСЕРВИС 63</t>
  </si>
  <si>
    <t>Александр Борисович, направила информацию</t>
  </si>
  <si>
    <t>руководитель по котельным  Петров Александр Сергеевич</t>
  </si>
  <si>
    <t>5. Количество сделок  - 2</t>
  </si>
  <si>
    <t>С-700  х2</t>
  </si>
  <si>
    <t>в производство</t>
  </si>
  <si>
    <t>С-3000 С-1000</t>
  </si>
  <si>
    <t>E 3000 Е-1000</t>
  </si>
  <si>
    <t>под производство</t>
  </si>
  <si>
    <t>ИсКОЖ</t>
  </si>
  <si>
    <t>E-7000 10 бар</t>
  </si>
  <si>
    <t>ТЕПЛОСНАБЖЕНИЕ</t>
  </si>
  <si>
    <t>S-1000 8 бар+деаэратор</t>
  </si>
  <si>
    <t>9-11 июня 2025</t>
  </si>
  <si>
    <t>Доставка в Н Уренгой на замену КСВ-2</t>
  </si>
  <si>
    <t>КСУ Банных Никита</t>
  </si>
  <si>
    <t>Е-5000</t>
  </si>
  <si>
    <t>Erensan Euromax 5000 замена</t>
  </si>
  <si>
    <t>Скрипальщиков  сайт</t>
  </si>
  <si>
    <t>СБЛХ звонок</t>
  </si>
  <si>
    <t>Оптрон звонок</t>
  </si>
  <si>
    <t xml:space="preserve">оренбург </t>
  </si>
  <si>
    <t>С-2500+автоматика+ горелка</t>
  </si>
  <si>
    <t>Давление газа 0,002кПА, нужна помощь</t>
  </si>
  <si>
    <t>ЕКБ</t>
  </si>
  <si>
    <t>вообще необходимо заменить 3 котла и + 1 новая горелка</t>
  </si>
  <si>
    <t>будут торговаться на етр рф</t>
  </si>
  <si>
    <t>СПЕЦХИММАШ (пенза)</t>
  </si>
  <si>
    <t>замена аркус трехходовой, выбирают по габаритам</t>
  </si>
  <si>
    <t>С-800х2</t>
  </si>
  <si>
    <t>Истомин</t>
  </si>
  <si>
    <t>Южный ветер</t>
  </si>
  <si>
    <t>С500</t>
  </si>
  <si>
    <t>Чебоксары</t>
  </si>
  <si>
    <t>ООО ИСКОЖ</t>
  </si>
  <si>
    <t>ООО КСИ</t>
  </si>
  <si>
    <t>4. Количество выставленных счетов  —  2</t>
  </si>
  <si>
    <t>6. Сумма сделок          3672500,00</t>
  </si>
  <si>
    <t>С-1250x2</t>
  </si>
  <si>
    <t>E-7000x1</t>
  </si>
  <si>
    <t>cклад</t>
  </si>
  <si>
    <t xml:space="preserve"> дата закупки не определена</t>
  </si>
  <si>
    <t>16-20 июня 2025</t>
  </si>
  <si>
    <t>С-800 С-500</t>
  </si>
  <si>
    <t>25/30%</t>
  </si>
  <si>
    <t>спеццена</t>
  </si>
  <si>
    <t>С-1500 С-1200</t>
  </si>
  <si>
    <t>С-2000 С-3000</t>
  </si>
  <si>
    <t>Е-2000 Е-2500</t>
  </si>
  <si>
    <t>E-3000 E-2000</t>
  </si>
  <si>
    <t>С Древо работает автоматика</t>
  </si>
  <si>
    <t>в проект /энтроросс</t>
  </si>
  <si>
    <t>Энергомир   разместил в ООО "ЭНЕРГОПРОЕКТ" Санкт-Петербург проектировщики</t>
  </si>
  <si>
    <t>E- 6000</t>
  </si>
  <si>
    <t>в тендер</t>
  </si>
  <si>
    <t>Крайтеплоэнерго</t>
  </si>
  <si>
    <t xml:space="preserve"> на замену КВА</t>
  </si>
  <si>
    <t>СБЛХ</t>
  </si>
  <si>
    <t>С-1100 + горелка+А</t>
  </si>
  <si>
    <t>С-2000 + горелка+А</t>
  </si>
  <si>
    <t>энтроросс</t>
  </si>
  <si>
    <t>МУП Водоканал</t>
  </si>
  <si>
    <t>ИСКОЖ</t>
  </si>
  <si>
    <t>E7000</t>
  </si>
  <si>
    <t>100, 150 квт</t>
  </si>
  <si>
    <t>Гидромаш ГК (почта)</t>
  </si>
  <si>
    <t>Полиметалл для Сахацинка (почта)</t>
  </si>
  <si>
    <t>ВАПОР (Сережа)</t>
  </si>
  <si>
    <t>S-1000, S-500 эконом, горелки</t>
  </si>
  <si>
    <t>тендер в ставрополе</t>
  </si>
  <si>
    <t>дала контакт на прямую</t>
  </si>
  <si>
    <t>30.06-04.07</t>
  </si>
  <si>
    <t>Технологии Комфорта Ставрополь</t>
  </si>
  <si>
    <t>S-1000/S-500</t>
  </si>
  <si>
    <t xml:space="preserve">2 100 000 и 950 000 </t>
  </si>
  <si>
    <t>нужны были такие цены с обвязкой</t>
  </si>
  <si>
    <t>УФАБУРМАШ</t>
  </si>
  <si>
    <t>С-250+ горелки</t>
  </si>
  <si>
    <t>конечник Уфа</t>
  </si>
  <si>
    <t>МКС (почта)</t>
  </si>
  <si>
    <t>МСК</t>
  </si>
  <si>
    <t>Алексей Грозный</t>
  </si>
  <si>
    <t>С-1500 С-2000</t>
  </si>
  <si>
    <t>ас С-3000-С-6000</t>
  </si>
  <si>
    <t>???</t>
  </si>
  <si>
    <t>выбирают на 24,5 мвт</t>
  </si>
  <si>
    <t>АТОММАШ Пенза</t>
  </si>
  <si>
    <t>Белоруссия Коммунальник</t>
  </si>
  <si>
    <t>E-1500 E-2000</t>
  </si>
  <si>
    <t>ЭНЕРГОМИР</t>
  </si>
  <si>
    <t>S-1000/S-2000</t>
  </si>
  <si>
    <t>Замена котлов Тиссен. Наши широкие</t>
  </si>
  <si>
    <t>С-250    С-500</t>
  </si>
  <si>
    <t>С-1250х2</t>
  </si>
  <si>
    <t>Мытищи теплосеть (Истомин)</t>
  </si>
  <si>
    <t>в проект помещают</t>
  </si>
  <si>
    <t>07.07.—11.07</t>
  </si>
  <si>
    <t>мытищ теплосети</t>
  </si>
  <si>
    <t>Энергомир Орск, Строймаш АО "ОЗЭМИ"</t>
  </si>
  <si>
    <t>1000 кВт - 1 шт;
2000 кВт - 2 шт;
2500 кВт - 2 шт.</t>
  </si>
  <si>
    <t>1 + 2 + 2</t>
  </si>
  <si>
    <t>Энергомимр ООО «ВБ Инжиниринг», Складской комплекс Оренбургская область, г. Оренбург, ул. Тихая</t>
  </si>
  <si>
    <t>Е- 5000 кВт 
Е- 2000 кВт</t>
  </si>
  <si>
    <t>С-1000 С-630</t>
  </si>
  <si>
    <t>ООО «Кабельный завод «ЭКСПЕРТ-КАБЕЛЬ»</t>
  </si>
  <si>
    <t>Будерус 360+ горелка</t>
  </si>
  <si>
    <t>цена опред</t>
  </si>
  <si>
    <t>Ренат закиров</t>
  </si>
  <si>
    <t>С-1750 С-1500</t>
  </si>
  <si>
    <t>30%;</t>
  </si>
  <si>
    <t>Сделали КП дешевле лаварта на 5 млн. ждут обратной связи</t>
  </si>
  <si>
    <t>ремонт или замена</t>
  </si>
  <si>
    <t>Миас-Групп</t>
  </si>
  <si>
    <t>С-550</t>
  </si>
  <si>
    <t>Московская область, м.о. Истра, деревня Лешково</t>
  </si>
  <si>
    <t>С-350+ автоматика</t>
  </si>
  <si>
    <t>хочет котел с нанотехнологиями</t>
  </si>
  <si>
    <t>E-1300</t>
  </si>
  <si>
    <t>СпецОблГАЗ для Самарский Завод Катализаторов. Самарская область, Красноярский район, пгт Новосемйкино, Промышленное шоссе, 3. </t>
  </si>
  <si>
    <t>ПСК (Мытищ теплосети)</t>
  </si>
  <si>
    <t xml:space="preserve"> доп клапаны предохранительные</t>
  </si>
  <si>
    <t>ООО Военпроект</t>
  </si>
  <si>
    <t>6. Сумма сделок     2 036 600,00</t>
  </si>
  <si>
    <t>4 Выставлен счет договор</t>
  </si>
  <si>
    <t>сомневается по габаритам</t>
  </si>
  <si>
    <t>14-18 июля 2025</t>
  </si>
  <si>
    <t>Интерлизинг для МУП ТЕПЛО КУРГАН</t>
  </si>
  <si>
    <t>УС Синтех Инжениринг</t>
  </si>
  <si>
    <t>Газпромтеплоэнерго</t>
  </si>
  <si>
    <t>6. Сумма сделок     2 121 500,00</t>
  </si>
  <si>
    <t>С-1500+ горелка+ панель</t>
  </si>
  <si>
    <t>Форвард</t>
  </si>
  <si>
    <t>Магомед Мусаевич</t>
  </si>
  <si>
    <t>Шахбан мхачкала</t>
  </si>
  <si>
    <t>котельная 600 квт</t>
  </si>
  <si>
    <t>СтройГАЗ СЕРВИС Ульяновск</t>
  </si>
  <si>
    <t>вторник</t>
  </si>
  <si>
    <t>пон-вторник</t>
  </si>
  <si>
    <t>АММА г. Белебей, РБашкортостан,</t>
  </si>
  <si>
    <t xml:space="preserve">Бмк Энерголидер Александр Орлов. </t>
  </si>
  <si>
    <t>Д Совин ЕКБ ООО ''Тепловые Системы Протон"</t>
  </si>
  <si>
    <t>21-25 июля</t>
  </si>
  <si>
    <t>РАДУГА</t>
  </si>
  <si>
    <t>Техпромснаб</t>
  </si>
  <si>
    <t>РАДУГА, ФОРВАРД</t>
  </si>
  <si>
    <t>6. Сумма сделок     359 200,00</t>
  </si>
  <si>
    <t>6. Сумма сделок      1 956 000,00</t>
  </si>
  <si>
    <t>АО Удмуртавтотранс</t>
  </si>
  <si>
    <t>С-1500+ Г</t>
  </si>
  <si>
    <t>СОО Абсолют АГРО</t>
  </si>
  <si>
    <t>С-280+Г+ автомат</t>
  </si>
  <si>
    <t>5. Количество сделок  -2</t>
  </si>
  <si>
    <t>июль</t>
  </si>
  <si>
    <t>Мытиц теплосеть (ПСИ)</t>
  </si>
  <si>
    <t>ПСБ (ГазпромтеплоЭнерго)</t>
  </si>
  <si>
    <t>Радуга</t>
  </si>
  <si>
    <t>28.07.— 01.08.2025</t>
  </si>
  <si>
    <t>ООО " Компания Этронис"</t>
  </si>
  <si>
    <t>С-1000/E-1000</t>
  </si>
  <si>
    <t xml:space="preserve">6шт  </t>
  </si>
  <si>
    <t>СИТИГРУПП</t>
  </si>
  <si>
    <t>С-1800</t>
  </si>
  <si>
    <t>ТКУ саратов</t>
  </si>
  <si>
    <t>ООО "ТК "ТАМАЛ"</t>
  </si>
  <si>
    <t>УС Сантех</t>
  </si>
  <si>
    <t>на шовной</t>
  </si>
  <si>
    <t>МПНУ ЭТМ</t>
  </si>
  <si>
    <t>E-6500 C-3500</t>
  </si>
  <si>
    <t>4+1</t>
  </si>
  <si>
    <t>замена Рекса в защиту</t>
  </si>
  <si>
    <t>актуализировали информацию, наличие на складе. Делают монтаж, чаще выбирает клиент</t>
  </si>
  <si>
    <t>котлы больше не интересубют</t>
  </si>
  <si>
    <t>отправила наличие</t>
  </si>
  <si>
    <t>отказались от площадки, котлы не актуальны</t>
  </si>
  <si>
    <t>конечники, котельную сделали в прошлом году</t>
  </si>
  <si>
    <t>разовая потребность больше не интересно</t>
  </si>
  <si>
    <t>выбирают мощности 1500/1350 не проходим по ширине думают о ковровских котлах</t>
  </si>
  <si>
    <t>пока игнорирует</t>
  </si>
  <si>
    <t>пока нет проектов, где то вендор лист. Пока не получается наши котлы пристроить</t>
  </si>
  <si>
    <t>направлено актуальное наличие на складе</t>
  </si>
  <si>
    <t>04-08 августа</t>
  </si>
  <si>
    <t xml:space="preserve">Заосаб счет </t>
  </si>
  <si>
    <t>МАГНАТЕК (Уфа)</t>
  </si>
  <si>
    <t>С-5000+А+Г</t>
  </si>
  <si>
    <t>ШНР ПНР магнит закр конк</t>
  </si>
  <si>
    <t>С-1500+Г+А</t>
  </si>
  <si>
    <t>ООО «Единая Теплосетевая Компания» С-ПБ (истомин)</t>
  </si>
  <si>
    <t>Внутренний конкурс еще не сведен воедино</t>
  </si>
  <si>
    <t>С-2000х2</t>
  </si>
  <si>
    <t>Горелка СУГ + автомат+ комплекты</t>
  </si>
  <si>
    <t xml:space="preserve">Грозный </t>
  </si>
  <si>
    <t>С3500/С4000</t>
  </si>
  <si>
    <t>27 ,5%</t>
  </si>
  <si>
    <t xml:space="preserve"> добав данные для горелок</t>
  </si>
  <si>
    <t>ИП Мелянинко</t>
  </si>
  <si>
    <t xml:space="preserve"> ИП Хватов </t>
  </si>
  <si>
    <t>С-2000, С-3500</t>
  </si>
  <si>
    <t>цены даны из наличичя и под производство</t>
  </si>
  <si>
    <t>С-2300</t>
  </si>
  <si>
    <t>для тендера на замену витомакс</t>
  </si>
  <si>
    <t>Тариус Энерго (проект/монтаж) проектировщики</t>
  </si>
  <si>
    <t>Авангард строй трест сайт был запрос на пар</t>
  </si>
  <si>
    <t>ООО "Строительные ресурсы" монтаж/проект/строит</t>
  </si>
  <si>
    <t>направила актуальные остатки. Ожидаема закупка зимой, когда пойдут платежи за отопление</t>
  </si>
  <si>
    <t>нет пока проектов. Работают над крышными котельными, если будет запрос - направит.</t>
  </si>
  <si>
    <t xml:space="preserve">ООО "ТК "ТАМАЛ" </t>
  </si>
  <si>
    <t>отправлено наличие</t>
  </si>
  <si>
    <t>отправлен прайс на шовных трубах и наличие</t>
  </si>
  <si>
    <t>Рафаэль занимаются обслуж котельных в том числе что и мы строили. Только ремонт</t>
  </si>
  <si>
    <t>11-15 августа 2025</t>
  </si>
  <si>
    <t>Дмитрий Ефремов</t>
  </si>
  <si>
    <t>С-750 или С-900</t>
  </si>
  <si>
    <t xml:space="preserve"> на замену Ичи, </t>
  </si>
  <si>
    <t>ООО "Скан-Юго-Восток"</t>
  </si>
  <si>
    <t>С250 + горелка</t>
  </si>
  <si>
    <t>горелка на отработанном масле</t>
  </si>
  <si>
    <t>ПоволжьеСтрой Сервис</t>
  </si>
  <si>
    <t>Влад</t>
  </si>
  <si>
    <t>С-730 или С-1000</t>
  </si>
  <si>
    <t>Масс-ГРУПП</t>
  </si>
  <si>
    <t>С-250+Г (диз)</t>
  </si>
  <si>
    <t>Промтехсервис (Истомин)</t>
  </si>
  <si>
    <t>Г, А, О добавлены</t>
  </si>
  <si>
    <t>из наличия, берут у термотехники</t>
  </si>
  <si>
    <t>18-22 августа</t>
  </si>
  <si>
    <t>нужны были из наличия</t>
  </si>
  <si>
    <t>Группа компаний НПК "Завод модульного энергооборудования"</t>
  </si>
  <si>
    <t>6500/5500/2000</t>
  </si>
  <si>
    <t>2_1_1</t>
  </si>
  <si>
    <t>Прогресс-Энерго Спб</t>
  </si>
  <si>
    <t>МПК Светлое</t>
  </si>
  <si>
    <t>С-4000+Г+Клап</t>
  </si>
  <si>
    <t>для предложения заказчику.</t>
  </si>
  <si>
    <t>С-1250+ Г</t>
  </si>
  <si>
    <t>прайс С и Е</t>
  </si>
  <si>
    <t xml:space="preserve"> Выставлен счет договор</t>
  </si>
  <si>
    <t xml:space="preserve"> Количество сделок  </t>
  </si>
  <si>
    <t xml:space="preserve"> Сумма сделок    </t>
  </si>
  <si>
    <t>МУП Тепло Белозерское Курган</t>
  </si>
  <si>
    <t>ЗАВОД ЖБИ СТРОЙБИЗНЕС Челябинск</t>
  </si>
  <si>
    <t>25-29 августа</t>
  </si>
  <si>
    <t>Бугуруслан Теплоснабжение</t>
  </si>
  <si>
    <t>горелка + котел</t>
  </si>
  <si>
    <t>Бузулук ООО Прогресс</t>
  </si>
  <si>
    <t>С-750+Г</t>
  </si>
  <si>
    <t>Газпромдобыча Астрахань</t>
  </si>
  <si>
    <t>комбинир горелка</t>
  </si>
  <si>
    <t>Ус Синтех Дагестан</t>
  </si>
  <si>
    <t>МНПУ ЭТМ</t>
  </si>
  <si>
    <t>проект 26 года</t>
  </si>
  <si>
    <t>01.09.2025— 05.09.2025</t>
  </si>
  <si>
    <t xml:space="preserve">СтройГАЗ НТ </t>
  </si>
  <si>
    <t xml:space="preserve">Промгаз </t>
  </si>
  <si>
    <t>С 400</t>
  </si>
  <si>
    <t>ПТС (Истомин)</t>
  </si>
  <si>
    <t>5. Количество сделок  -3</t>
  </si>
  <si>
    <t xml:space="preserve">6. Сумма сделок    </t>
  </si>
  <si>
    <t>ЖБИ Стройбизнес</t>
  </si>
  <si>
    <t>БВТС</t>
  </si>
  <si>
    <t>МУП Тепло</t>
  </si>
  <si>
    <t>С-1750+Г</t>
  </si>
  <si>
    <t>С-4000+Г</t>
  </si>
  <si>
    <t>конкурс до 15.09</t>
  </si>
  <si>
    <t>ПЭГ (НН)</t>
  </si>
  <si>
    <t>перенесено на весну</t>
  </si>
  <si>
    <t>Мкп Светлое</t>
  </si>
  <si>
    <t>просят в резерв поставить</t>
  </si>
  <si>
    <t>14-19 сентября 2025</t>
  </si>
  <si>
    <t xml:space="preserve">ООО "ЭНЕРДЖИ КОНСАЛТИНГ ГРУПП" </t>
  </si>
  <si>
    <t>АДЕРУС ЦЕНТР</t>
  </si>
  <si>
    <t>ЭНЕРГОМИР/КД УРАЛ/МИР ГОРЕЛОК/ОТОПИТЕЛЬНОЕ ОБОРУДОВАНИЕ</t>
  </si>
  <si>
    <t>ООО ТЕПЛОСТРОЙМОНТАЖ</t>
  </si>
  <si>
    <t>АКВАРИУС</t>
  </si>
  <si>
    <t>СТРОЙГАЗ НТ</t>
  </si>
  <si>
    <t>АЛТЕРНАТИВНЫЕ РЕШЕНИЯ</t>
  </si>
  <si>
    <t>ООО СИТИ-ГАЗ</t>
  </si>
  <si>
    <t>ООО "ЗАВОД БМК ЭНЕРГОЛИДЕР"</t>
  </si>
  <si>
    <t>ООО ПКФ "РЕГИОНТЕПЛОРЕСУРС"</t>
  </si>
  <si>
    <t>Директор Никулин Дмитрий</t>
  </si>
  <si>
    <t>Зам Директора по закупкам Орлов Александр Георгиевич</t>
  </si>
  <si>
    <t>СЗ Альянс Инвест</t>
  </si>
  <si>
    <t>Работают под эгидой САИЖК- СТРУКТУРНОЕ подразделение  при правительстве СО. С 14 по 23 год работали по закрытию программы обманутых дольщиков</t>
  </si>
  <si>
    <t xml:space="preserve">Хомутов АНДРЕЙ николаевич - ген дир, Ларин Андрей Борисович бенефециар, </t>
  </si>
  <si>
    <t>ООО СКАЙ ПРОМ</t>
  </si>
  <si>
    <t>работают только по тендерам, т.к. нас нет в реестре минпромстроя - нет возможности нас использовать. Встреча после получения включения в реестр</t>
  </si>
  <si>
    <t>Теплоснабжение Е</t>
  </si>
  <si>
    <t>Селз-Инжиниринг</t>
  </si>
  <si>
    <t>ТЕРМОПОИНТ</t>
  </si>
  <si>
    <t>С-800.02 С-500.02</t>
  </si>
  <si>
    <t>1+1+Г</t>
  </si>
  <si>
    <t>В контракт</t>
  </si>
  <si>
    <t xml:space="preserve">Обожин Олег Евгеньевич Работают на подрядах С УГМК, хочет посмотреть </t>
  </si>
  <si>
    <t xml:space="preserve">РАДУГА </t>
  </si>
  <si>
    <t>отправить гильзы?</t>
  </si>
  <si>
    <t>Трефилов Андрей Сергеевич - директор Куликов Сергей ГИП</t>
  </si>
  <si>
    <t>Кравчинский Болеслав Анатольевич</t>
  </si>
  <si>
    <t>Реймер Елена  - директор Ольга -  правая рука</t>
  </si>
  <si>
    <t>Варваркин Андрей Дмитриевич</t>
  </si>
  <si>
    <t>Не знал ничего о нас, сейчас ставят конденсатные котлы</t>
  </si>
  <si>
    <t>СИТИ ГАЗ</t>
  </si>
  <si>
    <t>С-3000, С-1000</t>
  </si>
  <si>
    <t>на сравнение и ознакомление</t>
  </si>
  <si>
    <t>Рычкова Ирина Леонидовна - проектировщица</t>
  </si>
  <si>
    <t>9 МВТ уходит на 26 год</t>
  </si>
  <si>
    <t xml:space="preserve">  направить больше материалов по техничке 3х ходовые котлы</t>
  </si>
  <si>
    <t>Договорились взаимодействовать по заходу к проектировщикам. Скинет контакты проектировщиков кто работает налево</t>
  </si>
  <si>
    <t>Костырев Даниил Сами проектируют,  котлы 1-3 мвт. Сейчас строят котельную для Москвы Синагога в марьиной роще.Директор любит аркусы При формировании Кп иметь в виду цену Аркуса</t>
  </si>
  <si>
    <t>С-1000 С-2000</t>
  </si>
  <si>
    <t>проект января 26</t>
  </si>
  <si>
    <t>Теплостроймонтаж ЕКБ</t>
  </si>
  <si>
    <t>ТЕПЛОСТРОЙМОНТАЖ НН</t>
  </si>
  <si>
    <t>С-4000+ горелка</t>
  </si>
  <si>
    <t>аванс 30%</t>
  </si>
  <si>
    <t>Директор Иван Михайлович - на объектах шлите на вацип, встреча зимой</t>
  </si>
  <si>
    <t>22-26 сентября 2025</t>
  </si>
  <si>
    <t>С-3000 С-5000+ Г</t>
  </si>
  <si>
    <t>проект 2026 года. Сейчас решают что брать. В настоящее время идет сравнение</t>
  </si>
  <si>
    <t>ООО ТЭК СУ Павел Леваш (сайт)</t>
  </si>
  <si>
    <t>С-3000+Г</t>
  </si>
  <si>
    <t>не дает номер телефона</t>
  </si>
  <si>
    <t>СтройГазНТ</t>
  </si>
  <si>
    <t>С-500х5 С-1500 склад</t>
  </si>
  <si>
    <t>5+2</t>
  </si>
  <si>
    <t>Промтехсервис</t>
  </si>
  <si>
    <t xml:space="preserve">МУП ТЕПЛО </t>
  </si>
  <si>
    <t>конкурс</t>
  </si>
  <si>
    <t>заявка с сайта № 206</t>
  </si>
  <si>
    <t>неверно указан номер телефона</t>
  </si>
  <si>
    <t>Форвард/ХитИнжиниринг</t>
  </si>
  <si>
    <t>С-2500+ автоматика</t>
  </si>
  <si>
    <t>Александр сайко a655622@gmail.com (сайт)</t>
  </si>
  <si>
    <t xml:space="preserve">Сделки </t>
  </si>
  <si>
    <t>С-500.01 х 4</t>
  </si>
  <si>
    <t>Интерстрой 2 Дагестан (Гума)</t>
  </si>
  <si>
    <t>1500х2 720 х 1</t>
  </si>
  <si>
    <t>29 сентября - 03 октября</t>
  </si>
  <si>
    <t>Е 3000</t>
  </si>
  <si>
    <t>срок 4 мес</t>
  </si>
  <si>
    <t>клиент с ХЗ</t>
  </si>
  <si>
    <t>Cветлояр</t>
  </si>
  <si>
    <t>S-2000 + эконом</t>
  </si>
  <si>
    <t>КУЗОЦМ</t>
  </si>
  <si>
    <t>Идет конкурс на поставку</t>
  </si>
  <si>
    <t>Васильев Никита Романович  
ООО "СамараНефтеКомплект"
89372001903 почта</t>
  </si>
  <si>
    <t>ООО ТФ «ПКЗ» (ПИТЕР - голова, филиалы по стране</t>
  </si>
  <si>
    <t>Промгаз (бесшовная труба)</t>
  </si>
  <si>
    <t>С-1500х2 С-500</t>
  </si>
  <si>
    <t>Стройгаз НТ</t>
  </si>
  <si>
    <t xml:space="preserve">опл </t>
  </si>
  <si>
    <t>Шкафы автоматики</t>
  </si>
  <si>
    <t>собирает котельную</t>
  </si>
  <si>
    <t>Энергодиагностика - г Карпинск</t>
  </si>
  <si>
    <t>секретарша зло</t>
  </si>
  <si>
    <t>ООО Малышева 73</t>
  </si>
  <si>
    <t>МУП Горэнерго</t>
  </si>
  <si>
    <t xml:space="preserve">ЭнергоРост Строй </t>
  </si>
  <si>
    <t>В долю уставного капитала в 2024 году вошел Дорогобужкотломаш</t>
  </si>
  <si>
    <t>06— 10 октября 2025</t>
  </si>
  <si>
    <t xml:space="preserve">АВД ФРАК МАСТЕР </t>
  </si>
  <si>
    <t>С-1000, С-750</t>
  </si>
  <si>
    <t>думает построить котельную себе</t>
  </si>
  <si>
    <t>С-1500,02+Г</t>
  </si>
  <si>
    <t>С-1000, С-2000, С1600</t>
  </si>
  <si>
    <t>1 +1+1</t>
  </si>
  <si>
    <t>уже заложены в проект С-1500 х 2 штуки+Г+термопанели Получен перечень  плана по капитальному ремонту котлов г. Пушкино. Там мы можем бороться за замену КСВ и Зиосаба на наши котлы</t>
  </si>
  <si>
    <t xml:space="preserve">Атриум </t>
  </si>
  <si>
    <t>Коммунальник</t>
  </si>
  <si>
    <t>КОРСЭЛЬ (Пермь)</t>
  </si>
  <si>
    <t>С-1000+ Г+автомат</t>
  </si>
  <si>
    <t>в настоящее время запросы минимальны только позакладыванию цен на котельные. Портфель заказов будут формировать к февралю 26.</t>
  </si>
  <si>
    <t>летом хотел приехать, сейчас идет формирование заказов на след год и будет понимание по потребности и количестве котов.</t>
  </si>
  <si>
    <t>строят котельные  на котлах 15- 20 -30 мвт, пар 20-25 т.пара</t>
  </si>
  <si>
    <t>результат 14.10.</t>
  </si>
  <si>
    <t>С-1000, С2000,С 3000</t>
  </si>
  <si>
    <t>после переговоров с Директором направлена информация на вацап</t>
  </si>
  <si>
    <t>обслуживание  модернизация котельных. Направлена информация и свободное наличие</t>
  </si>
  <si>
    <t>СК НЕБО (МСК)</t>
  </si>
  <si>
    <t>Направлена информация на почту, Директор в отпуске. Звонить через 2 недели</t>
  </si>
  <si>
    <t>ООО Сталкер  (ГД) (МСК)</t>
  </si>
  <si>
    <t>Занимаются строительством автовокзала нового в ЕКБ. Направлена информция на почту Главного инженера</t>
  </si>
  <si>
    <t>Атлас Групп   Тюмень</t>
  </si>
  <si>
    <t>занимаются подрядами, кап ремонтами котельных. Интересно. Котельные берут в начале года</t>
  </si>
  <si>
    <t>С-2000.01С2000.02</t>
  </si>
  <si>
    <t>к сожалению ДКМ взяли весь объем на себя</t>
  </si>
  <si>
    <t>С-250, С-1000, С-1250, С1500, С-1750</t>
  </si>
  <si>
    <t>ГазпромТеплоЭнерго (Мышин Иван)</t>
  </si>
  <si>
    <t>По факту выезда на объект установлено что там стоит парогенератор. УРАН</t>
  </si>
  <si>
    <t>строят котельные, но не проектируют. Проектирование отдают на субподряд.</t>
  </si>
  <si>
    <t>ВЕНТАСТРОЙ (почта) Йошкар-ола</t>
  </si>
  <si>
    <t>Б Групп (Челябинск)</t>
  </si>
  <si>
    <t>занимаются только проектированием.Направлена информация</t>
  </si>
  <si>
    <t>для сравнения ценовых предложений выграли тендер для АО "ЮГОРСКИЙ ЛЕСОПРОМЫШЛЕННЫЙ ХОЛДИНГ"</t>
  </si>
  <si>
    <t>Городище (Теплостроймонтаж)</t>
  </si>
  <si>
    <t>Получено Кп на котельную С-500х3 направлено заказчику наизучение</t>
  </si>
  <si>
    <r>
      <t xml:space="preserve">ООО «Уником+»г. Югра ХМАО </t>
    </r>
    <r>
      <rPr>
        <b/>
        <u/>
        <sz val="11"/>
        <color theme="1"/>
        <rFont val="Times New Roman"/>
        <family val="1"/>
        <charset val="204"/>
      </rPr>
      <t>ХЗ</t>
    </r>
  </si>
  <si>
    <t>С-500.01</t>
  </si>
  <si>
    <t>10-14 ноября 2025</t>
  </si>
  <si>
    <t>ЗАО «ЭТАЛОН-ПРИБОР» Челяб</t>
  </si>
  <si>
    <t>ЧЗМЭК Челяб</t>
  </si>
  <si>
    <t>E-3000 E-3500</t>
  </si>
  <si>
    <t>Для участия в тендере (в проекте Энтророссы)</t>
  </si>
  <si>
    <t>Поставка Комсомольск-на Амуре</t>
  </si>
  <si>
    <t>С-500+Автом</t>
  </si>
  <si>
    <t>01 и 02 на выбор</t>
  </si>
  <si>
    <t>Мытищенские теплосети</t>
  </si>
  <si>
    <t>С-1000+ Г балтур</t>
  </si>
  <si>
    <t>котлы 1000.01</t>
  </si>
  <si>
    <t>С250/С500/С750</t>
  </si>
  <si>
    <t>Сделки:</t>
  </si>
  <si>
    <t xml:space="preserve">ООО Аспирация </t>
  </si>
  <si>
    <t>оплачено</t>
  </si>
  <si>
    <t>Администрация МУП</t>
  </si>
  <si>
    <t>Горелка Терминатор</t>
  </si>
  <si>
    <t>на телефон не отвечает, мессенджер не отвечает</t>
  </si>
  <si>
    <t>предложено монт Атриум, Теплогазоснабжение</t>
  </si>
  <si>
    <t>Горьковская дирекция по теплоснабжению( почта)</t>
  </si>
  <si>
    <t>Горелка ЕММА</t>
  </si>
  <si>
    <t>договор на согласовании</t>
  </si>
  <si>
    <t>Теплостроймонтаж</t>
  </si>
  <si>
    <t>С-1000.02+С-2000.02</t>
  </si>
  <si>
    <t>Борьба с монтажниками на аркусах</t>
  </si>
  <si>
    <t>предложены наши 500 котлы, не прошли по габаритам</t>
  </si>
  <si>
    <t>НеостройМосква ХЗ</t>
  </si>
  <si>
    <t>ООО ПКФ СтретегЭ (МСК) звонок</t>
  </si>
  <si>
    <t>С-750.01</t>
  </si>
  <si>
    <t>на подбор 3 производителя горелок. Решение будет приниматься в декабре на 2026 год</t>
  </si>
  <si>
    <t>Теплогазоснабжение НН</t>
  </si>
  <si>
    <t>из наличия</t>
  </si>
  <si>
    <t>наши котлы не запустили. Идет согласование с Мосгазом, нужны будут исправления в паспорте на большую мощность</t>
  </si>
  <si>
    <t>17-21 ноября 2025</t>
  </si>
  <si>
    <t>СтройгазНТ</t>
  </si>
  <si>
    <t>С-1400</t>
  </si>
  <si>
    <t xml:space="preserve">В настоящее время подрядчик заключает договор с Администрацией г. Красноовишенск на модернизацию и обслуживание котельных в этом городе. </t>
  </si>
  <si>
    <t xml:space="preserve"> котлы для 5 котельных С-5000, С-1000, С-2500, С-2000 </t>
  </si>
  <si>
    <t xml:space="preserve"> С-1500х2</t>
  </si>
  <si>
    <t>ТГС НН</t>
  </si>
  <si>
    <t>для котельной Автомобилиста</t>
  </si>
  <si>
    <t>НЕОСТРОЙ</t>
  </si>
  <si>
    <t>на  подбор</t>
  </si>
  <si>
    <t>С250/500/750 + Г 3 вида</t>
  </si>
  <si>
    <t>будут смотреть тех характеристики</t>
  </si>
  <si>
    <t>С-900</t>
  </si>
  <si>
    <t>ООО Малышева 73 (Екб)</t>
  </si>
  <si>
    <t>Компания ЛЭВЕЛ (Пермь)</t>
  </si>
  <si>
    <t>договоренность о организации встречи с директором по прибытию в ЕКБ</t>
  </si>
  <si>
    <t xml:space="preserve">Энерджи Консалтинг Групп </t>
  </si>
  <si>
    <t>снабжение ( крупнейший застройщик на рынке недвижимости Екатеринбурга. Договорились что приду к ним на общение в командировке)</t>
  </si>
  <si>
    <t>актуализация и увеличение до 2 котлов</t>
  </si>
  <si>
    <t>цена из договора, отгрузка до конца года</t>
  </si>
  <si>
    <t>ООО Прогресс</t>
  </si>
  <si>
    <t>расчет  за С-750 и горелку</t>
  </si>
  <si>
    <t>24-28 ноября 2025</t>
  </si>
  <si>
    <t>ООО "Единая Служба Снабжения"</t>
  </si>
  <si>
    <t>S-2000 Стандарт горелка</t>
  </si>
  <si>
    <t>С-2000 С-2500</t>
  </si>
  <si>
    <t>перепродажа</t>
  </si>
  <si>
    <t>ООО СТЕММ</t>
  </si>
  <si>
    <t>С-750.1</t>
  </si>
  <si>
    <t>К-4000.1</t>
  </si>
  <si>
    <t>БМК Энерголидер</t>
  </si>
  <si>
    <t>Для расчёта КП на котельную по объекту «Амурские тепловые сети» АО «ДГК», с. Чигири,</t>
  </si>
  <si>
    <t>котельная 16 квт Объект: АО "Логистическая компания МОЛКОМ" "Перспективное  развитие теплового и газового хозяйства  
на 2025-2030 г.г."  М.О., Пушкино, микрорайон Клязьма, Костомаровская ул., 5/1</t>
  </si>
  <si>
    <t>S-4000</t>
  </si>
  <si>
    <t>не подошел по техническим условиям</t>
  </si>
  <si>
    <t>скорее будет 2-3 С3000 ожид до конца 25 года</t>
  </si>
  <si>
    <t>ЭйСиВи Урал (звонки по списку)</t>
  </si>
  <si>
    <t>замена КМ 2.5-6-1 на тендер</t>
  </si>
  <si>
    <t>НВЗ Холдинг</t>
  </si>
  <si>
    <t>2+1 +Горелки</t>
  </si>
  <si>
    <t xml:space="preserve">Просят закрепить эту поставку для ООО "Теплокоминвест" Татарстан. Г. Высокая гора Компания работает в сфере теплоснабжения — торговле паром и горячей водой. </t>
  </si>
  <si>
    <t>актуализация со снижением цены, предусмотрели повышение цены в 2026 году. Котельная в Комсомольске на Амуре</t>
  </si>
  <si>
    <t>ООО Стратег-Э</t>
  </si>
  <si>
    <t>С-1000 и Г</t>
  </si>
  <si>
    <t>27.5%</t>
  </si>
  <si>
    <t>* наше предложение конкурентно, но пока не получена обратная связь от Заказчика. Это монтажники. Хотят чтобы все прошло этим годом, но не может гарантировать что не уйдет на след год, т.к. финансирует заказчик данные работы. Получена договоренность  о направлении запросов по другим объектам</t>
  </si>
  <si>
    <t>р</t>
  </si>
  <si>
    <t>1. Малышева 73, ООО</t>
  </si>
  <si>
    <t>2. Энерджи консалтинг Групп</t>
  </si>
  <si>
    <t>Данила, знакомство с директором</t>
  </si>
  <si>
    <t>знакомство с компанией, информация о нас</t>
  </si>
  <si>
    <t xml:space="preserve">4. ЭйСи Ви урал </t>
  </si>
  <si>
    <t>5. Нетаком +</t>
  </si>
  <si>
    <t>6. Теплостроймонтаж</t>
  </si>
  <si>
    <t>3. ТПК Рутена Урал</t>
  </si>
  <si>
    <t>8. Теплотон Кашин Сергей Дмитриевич директор</t>
  </si>
  <si>
    <t>9. Регионтеплопроект Иван Михайлович - директор</t>
  </si>
  <si>
    <t>7.УГК -Энергетика  Андрей Николаевич</t>
  </si>
  <si>
    <t>10. ИСЦ Автоматизация</t>
  </si>
  <si>
    <t>Алексей Викторович</t>
  </si>
  <si>
    <t>Шахмин Илья Сергеевич директор по строительству</t>
  </si>
  <si>
    <t>08-12.12.2025</t>
  </si>
  <si>
    <t>Рутена Урал</t>
  </si>
  <si>
    <t>Эй Си Ви Урал</t>
  </si>
  <si>
    <t>Единая служба снабжения</t>
  </si>
  <si>
    <t>Организация занимается комплексными поставками, главное у них у частие в тендерах. По статистике забирают каждый  6 тендер</t>
  </si>
  <si>
    <t>Энерджи консалтинг Групп</t>
  </si>
  <si>
    <t xml:space="preserve">Встреча с директором - Александр Копейко.  У него и Аркусы и Теплофор и Метеор побывали уже. Интересовали в первую очередь паровые котлы.  Их делают мало, но хотят поглубже разработать эту тему. </t>
  </si>
  <si>
    <t>Липатов Константин Геннадьевич - Директор Компания на рынке с 2008 года. На рынке ЕКБ завоевана хорошая репутация, предпочитают работать по паровым котлам. Ранее поставляли паровые котлы из-за рубежа. Сейчас с удовольствием рассмотрят от нас предложения. При заклбючении контракта - приедет на производство</t>
  </si>
  <si>
    <t>Мячин Михаил Иванович. - главный инженер, Гусева татьяна Васильевна - главный специалист техотдела. Компания на рынке более 30 лет, работают и с гермесами и метеорами, старой закалки, Зам Олега Иванова из этой компании. Делают не много, 3-5 котельных в год. С данной компанией возможно сотрудничество по водогрейным котлам</t>
  </si>
  <si>
    <t>ИСЦ Автоматизация</t>
  </si>
  <si>
    <t>Зам директора по строительству - Погонин Игорь Вячеславаович - знакомство, рассказ о компании, ставят АРКУСЫ. Работают  круглогодично. Осуществляют теническое обслуживание на объектах, что дает им возможность ловить назревающие объекты в зачаточном состоянии</t>
  </si>
  <si>
    <t>Работа ведется и по Городищу ( проект банно-прачечного комплекса), по проету планируемому на январь 2026 - конкурент  ИСЦ автоматизация идущая на аркусах.</t>
  </si>
  <si>
    <t>ООО ТЕПЛОТОН</t>
  </si>
  <si>
    <t xml:space="preserve">Коллектив компании уволился из ЭнергоРост Строя в 2022 году. Открыли свое предприятие, объекты ищут, единственно смущает их радостное  ощущение от того что можно ставить Теплофоры.  Котел 600 квт теплофор продает за 425 тыс руб. Выезжали с ним на объект мебельная фабрика. </t>
  </si>
  <si>
    <t xml:space="preserve">Сити ГАЗ </t>
  </si>
  <si>
    <t>Встреча с директором.  Обсудили завершающийся год, на новый год пока объектов нет. Но выражает интерес по крайней мере пилотный проект в след году сделать с нами.</t>
  </si>
  <si>
    <t>На этой неделе должно быть принято решение по 3 котлам E-2500. На наших котлах выствил КП, но Заказчик запросил еще и на Энтророссах. Предложено 2 варианта исполнения. В сварную трубу на энтророссах не верит. Будет забирать котлы заказанные, за январь - февраль хочет утрясти финальное соглашение.</t>
  </si>
  <si>
    <t>С550, С-750</t>
  </si>
  <si>
    <t>на тендер аналог темрона</t>
  </si>
  <si>
    <t>Теплотон</t>
  </si>
  <si>
    <t>С-250 до С-3000</t>
  </si>
  <si>
    <t>просит дать список цены паровых котлов комплектации Стандарт+описание</t>
  </si>
  <si>
    <t>Селз Инжиниринг</t>
  </si>
  <si>
    <t>Встреча с представителем компании. Обсуждали кто куда поставил, зашел, Договорились что замолвит словечко в теплотехнику Е, а также проработка проектировщиков.</t>
  </si>
  <si>
    <t>ООО СИБУР-Петрокон</t>
  </si>
  <si>
    <t>Переходник на СУГ, ждут финансирования</t>
  </si>
  <si>
    <t>для котельной мебельной фабрики</t>
  </si>
  <si>
    <t>МУП тепло</t>
  </si>
  <si>
    <t>Жбк Стройбизнес</t>
  </si>
  <si>
    <t>БТВС</t>
  </si>
  <si>
    <t>Ус Синтех</t>
  </si>
  <si>
    <t>СтройГАЗ НТ</t>
  </si>
  <si>
    <t>С -1500</t>
  </si>
  <si>
    <t>ИП Рычков</t>
  </si>
  <si>
    <t xml:space="preserve">Аспирация </t>
  </si>
  <si>
    <t>ООО ПРОГРЕСС</t>
  </si>
  <si>
    <t>15-19 декабря 2025</t>
  </si>
  <si>
    <t>отгрузка 15.03.2026</t>
  </si>
  <si>
    <t>Эй Си Ви</t>
  </si>
  <si>
    <t>С-2000 С-1250</t>
  </si>
  <si>
    <t xml:space="preserve"> С-3500.02</t>
  </si>
  <si>
    <t>E-1500.02</t>
  </si>
  <si>
    <t>C-1500.02</t>
  </si>
  <si>
    <t>ООО НПО "ЭТРА" проектировщики</t>
  </si>
  <si>
    <t>рассматривают для проекта</t>
  </si>
  <si>
    <t>Горьковская дирекция по теплоснабжению</t>
  </si>
  <si>
    <t>на след год бюджетируются</t>
  </si>
  <si>
    <t>Эталон-Прибор</t>
  </si>
  <si>
    <t xml:space="preserve">считает бюджет котельной, </t>
  </si>
  <si>
    <t>E-2500 C-3000</t>
  </si>
  <si>
    <t>заменить на С - котлы</t>
  </si>
  <si>
    <t xml:space="preserve"> длянефти и попутного газа</t>
  </si>
  <si>
    <t xml:space="preserve"> в ПАО "Славнефть-Мегионгаз". г. Мегион.</t>
  </si>
  <si>
    <t>55+9</t>
  </si>
  <si>
    <t>Коммунальник Белоруссия</t>
  </si>
  <si>
    <t>Мощность 120 и 180 квт</t>
  </si>
  <si>
    <t>В разработе котельная на РФ 3 котла по 1800 квт, в Феврале поедет на встречу с заказчиком. И планирует поездку к нам на завод. При мощности более 2000 квт наши двухходовые котлы проходят по экологии для Белоруссии</t>
  </si>
  <si>
    <t>Паровые котельные</t>
  </si>
  <si>
    <t>Туринский ЦБЗ</t>
  </si>
  <si>
    <t>Предложена ООО СИТИ ГАЗ ( монтажник ЕКБ) Идет расчет стоимости</t>
  </si>
  <si>
    <t>В предпроетной документации заложен наш котел. Но обсуждения еще не начато. Но планы на 2026 год подтверждены. Свяжется как начнутся движения</t>
  </si>
  <si>
    <t>S-1000, 12 бар,                 Обвязка эконом,                 ДА 3</t>
  </si>
  <si>
    <t>Котельные на аутсортинг</t>
  </si>
  <si>
    <t>Альфа - Девелопмент  (МСК)</t>
  </si>
  <si>
    <t>С-4000х3 шт</t>
  </si>
  <si>
    <t>котельная в контейнерном исполнении нужна</t>
  </si>
  <si>
    <t xml:space="preserve"> двухтопочный 1700 квт</t>
  </si>
  <si>
    <t>аналог ИЧИ</t>
  </si>
  <si>
    <t>ждем обратную связь</t>
  </si>
  <si>
    <t xml:space="preserve">Теплостроймонтаж </t>
  </si>
  <si>
    <t>Варваркин Д.В.</t>
  </si>
  <si>
    <t>Сити Газ</t>
  </si>
  <si>
    <t>Трефилов Андрей</t>
  </si>
  <si>
    <t>Мусихин Д.В.</t>
  </si>
  <si>
    <t>Челябинск</t>
  </si>
  <si>
    <t>Злобин Алексей А.</t>
  </si>
  <si>
    <t>Кайрос-Инжиниринг</t>
  </si>
  <si>
    <t>Пермь</t>
  </si>
  <si>
    <t>Александр</t>
  </si>
  <si>
    <t>Теплогазоснабжение</t>
  </si>
  <si>
    <t>Бузин Дмитрий</t>
  </si>
  <si>
    <t>НН</t>
  </si>
  <si>
    <t>Ионычев Дм. Ген</t>
  </si>
  <si>
    <t>Еврогаз</t>
  </si>
  <si>
    <t>Орлов</t>
  </si>
  <si>
    <t>Промэнергогаз</t>
  </si>
  <si>
    <t>Андрей владимирович</t>
  </si>
  <si>
    <t>Монтаж водогрейных котельных</t>
  </si>
  <si>
    <t>Проектирование и монтаж вода/пар</t>
  </si>
  <si>
    <t>Перечень организаций монтажных для предложения котельных</t>
  </si>
  <si>
    <t>Проектирование и монтаж вода/пар пусконаладка, обслуживание</t>
  </si>
  <si>
    <t>Лэвел</t>
  </si>
  <si>
    <t>Язовцев</t>
  </si>
  <si>
    <t>Проектирование, монтаж водогрейных котельных</t>
  </si>
  <si>
    <t xml:space="preserve">Проектно-монтаж комп Факел </t>
  </si>
  <si>
    <t>Роман Шишкин</t>
  </si>
  <si>
    <t>Проектирование и монтаж</t>
  </si>
  <si>
    <t>Завод модульных котельных "Энергия" Нижегородский филиал</t>
  </si>
  <si>
    <t>Эй си Ви урал</t>
  </si>
  <si>
    <t>С-2500 С-1750</t>
  </si>
  <si>
    <t>12-16.01.2026</t>
  </si>
  <si>
    <t>Получено ТЗ от заказчика. Но на 26 год планируется только проектирование, сдача объекта - 28 год. Промгаз направил КП на 95 460 млн</t>
  </si>
  <si>
    <t>контсрагент  клиента  по КП - ответил, что цены устраивают. До конца недели созвон, по обсуждению планов по приобретению  котлов.  </t>
  </si>
  <si>
    <t>Была проведена обстоятельная беседа и по паровым и по водогрейным котлам. На этой неделе связаться для получения обратной связи</t>
  </si>
  <si>
    <t>19-23 января</t>
  </si>
  <si>
    <t>ЭКС Эко Новосиб</t>
  </si>
  <si>
    <t>Энергомир/КдУрал</t>
  </si>
  <si>
    <t>Дюпад</t>
  </si>
  <si>
    <t>E-1500  E-2000</t>
  </si>
  <si>
    <t>Борьба с аркусом за счет более дешевой горелки</t>
  </si>
  <si>
    <t>Е- 2000, Е4500</t>
  </si>
  <si>
    <t>С-1500 х2 С-1000</t>
  </si>
  <si>
    <t>С-1000.02</t>
  </si>
  <si>
    <t>для УТСС</t>
  </si>
  <si>
    <t>СЭСК</t>
  </si>
  <si>
    <t>С-820+ горелки</t>
  </si>
  <si>
    <t>замена Метеора</t>
  </si>
  <si>
    <t>подбор котельной для банного комплекса</t>
  </si>
  <si>
    <t>запрос на поставк4у - март. Наш котел направлен в комплекте с другими производителями</t>
  </si>
  <si>
    <t>МНПУ ЭТМ Мск Данил</t>
  </si>
  <si>
    <t>ООО ТЕРЕМ мск</t>
  </si>
  <si>
    <t>ООО «ЭНВИОГРУПП»</t>
  </si>
  <si>
    <t>ЛИД ХЗ</t>
  </si>
  <si>
    <t>направлена информация на почту</t>
  </si>
  <si>
    <t>компания занимается комплектованием ТМЦ невтяного и газового сектора. Созвон на этой неделе по рез рассмотрения нашей презентации</t>
  </si>
  <si>
    <t xml:space="preserve">ООО Вагнер-Екатеринбург </t>
  </si>
  <si>
    <t>Лид входящая почта</t>
  </si>
  <si>
    <t>02.02-14.02.2026</t>
  </si>
  <si>
    <t>С- 3000</t>
  </si>
  <si>
    <t>Атриум</t>
  </si>
  <si>
    <t>Рук ком службы</t>
  </si>
  <si>
    <t>Дир Уткин</t>
  </si>
  <si>
    <t>Горьковская дирекц по теплоснабжению</t>
  </si>
  <si>
    <t>Рук проектов, начальник</t>
  </si>
  <si>
    <t>Теплогазсервис</t>
  </si>
  <si>
    <t>Дмитрий</t>
  </si>
  <si>
    <t>ООО Эра</t>
  </si>
  <si>
    <t>Рук ком отдела</t>
  </si>
  <si>
    <t>Факел НН</t>
  </si>
  <si>
    <t>ООО Новотерм проект</t>
  </si>
  <si>
    <t>НовотермЭнергоСтрой</t>
  </si>
  <si>
    <t>отедл проектировщиков</t>
  </si>
  <si>
    <t>Промэнергогаз/строит институт</t>
  </si>
  <si>
    <t>Энергия Нижегор филилал</t>
  </si>
  <si>
    <t>Альфа -НН</t>
  </si>
  <si>
    <t xml:space="preserve">Мартынов Алексей </t>
  </si>
  <si>
    <t>руководитель проектов</t>
  </si>
  <si>
    <t xml:space="preserve">ГИП </t>
  </si>
  <si>
    <t>Чуваев Андрей икторович</t>
  </si>
  <si>
    <t>Директор</t>
  </si>
  <si>
    <t>Перечень организаций</t>
  </si>
  <si>
    <t>Е-1500</t>
  </si>
  <si>
    <t>E-6000.01 E4000.01</t>
  </si>
  <si>
    <t>нефтяники</t>
  </si>
  <si>
    <t>х2</t>
  </si>
  <si>
    <t>счет</t>
  </si>
  <si>
    <t>Парадигма</t>
  </si>
  <si>
    <t>С-1500, 1600, 2000, 750</t>
  </si>
  <si>
    <t>ГазпромТеплоЭнерго</t>
  </si>
  <si>
    <t xml:space="preserve">С-1500, 1600, 2000, </t>
  </si>
  <si>
    <t xml:space="preserve"> по 1</t>
  </si>
  <si>
    <t>добавлено коробочка+ доставка+ шкафы автоматики и каскад</t>
  </si>
  <si>
    <t>ГАзИнжиниринг Спб</t>
  </si>
  <si>
    <t>х/з</t>
  </si>
  <si>
    <t>Светлана Рудакова</t>
  </si>
  <si>
    <t>направлены 3д модели С-5000 и Е-5000</t>
  </si>
  <si>
    <t>ООО «Ньютех Велл Сервис»</t>
  </si>
  <si>
    <t>ХМАО (х/з)</t>
  </si>
  <si>
    <t xml:space="preserve">Роман, Нижний Новгород, нужна котельная на  10 000кв.м. </t>
  </si>
  <si>
    <t xml:space="preserve">3 КОТЛА ПО 300 КВТ, КРЫШНАЯ КОТЕЛЬНАЯ </t>
  </si>
  <si>
    <t>Считает Атриум и ПРОМГАЗ</t>
  </si>
  <si>
    <t>сходят с рельсов</t>
  </si>
  <si>
    <t>хз</t>
  </si>
  <si>
    <t>, Адиля</t>
  </si>
  <si>
    <t>Павел</t>
  </si>
  <si>
    <t>в проекты ставят студенты котлы</t>
  </si>
  <si>
    <t>Энергия Барнаул (ЛХЗ)</t>
  </si>
  <si>
    <t>ДА 5/4</t>
  </si>
  <si>
    <t xml:space="preserve">требуется бим модель 3 д с </t>
  </si>
  <si>
    <t>С-4000 подошло</t>
  </si>
  <si>
    <t>в 24 году заключен агентский договор. Но не в один проект они не поставили</t>
  </si>
  <si>
    <t>посетить в командировке</t>
  </si>
  <si>
    <t>С-3000.01</t>
  </si>
  <si>
    <t>ООО АЛДИ</t>
  </si>
  <si>
    <t>МУП ПКС ЕКБ</t>
  </si>
  <si>
    <t>С-820.01</t>
  </si>
  <si>
    <t xml:space="preserve"> в согласовании с СЭСК</t>
  </si>
  <si>
    <t>в газпромтеплоэнерго</t>
  </si>
  <si>
    <t>Богдановичское ОАО «Огнеупоры»</t>
  </si>
  <si>
    <t>проектировщик</t>
  </si>
  <si>
    <t>Через монтажника</t>
  </si>
  <si>
    <t>Компания "Промэнергопроект"</t>
  </si>
  <si>
    <t>Дюпад (Пермь)</t>
  </si>
  <si>
    <t>комплектовщики</t>
  </si>
  <si>
    <t>на выбор 01 и 02 ждем фланцы/патрубки</t>
  </si>
  <si>
    <t>Энергия НН (Алексей)</t>
  </si>
  <si>
    <t xml:space="preserve">в проработке котельные на указанных котлах, в стадии запроса. </t>
  </si>
  <si>
    <t xml:space="preserve"> считают котельную</t>
  </si>
  <si>
    <t>на 340 мм выше метеора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</si>
</sst>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5" x14ac:knownFonts="1">
    <font>
      <sz val="11"/>
      <color theme="1"/>
      <name val="Calibri"/>
      <family val="2"/>
      <charset val="204"/>
      <scheme val="minor"/>
    </font>
    <font>
      <sz val="11"/>
      <color theme="1"/>
      <name val="Times New Roman"/>
      <family val="1"/>
      <charset val="204"/>
    </font>
    <font>
      <b/>
      <sz val="11"/>
      <color theme="1"/>
      <name val="Times New Roman"/>
      <family val="1"/>
      <charset val="204"/>
    </font>
    <font>
      <sz val="8"/>
      <color theme="1"/>
      <name val="Times New Roman"/>
      <family val="1"/>
      <charset val="204"/>
    </font>
    <font>
      <sz val="11"/>
      <color rgb="FF2C2D2E"/>
      <name val="Times New Roman"/>
      <family val="1"/>
      <charset val="204"/>
    </font>
    <font>
      <sz val="11"/>
      <color theme="9" tint="-0.249977111117893"/>
      <name val="Times New Roman"/>
      <family val="1"/>
      <charset val="204"/>
    </font>
    <font>
      <sz val="10"/>
      <color theme="1"/>
      <name val="Times New Roman"/>
      <family val="1"/>
      <charset val="204"/>
    </font>
    <font>
      <b/>
      <sz val="12"/>
      <color rgb="FF7030A0"/>
      <name val="Times New Roman"/>
      <family val="1"/>
      <charset val="204"/>
    </font>
    <font>
      <b/>
      <sz val="11"/>
      <color theme="7" tint="0.39997558519241921"/>
      <name val="Times New Roman"/>
      <family val="1"/>
      <charset val="204"/>
    </font>
    <font>
      <sz val="11"/>
      <color theme="7" tint="0.39997558519241921"/>
      <name val="Times New Roman"/>
      <family val="1"/>
      <charset val="204"/>
    </font>
    <font>
      <sz val="10"/>
      <color rgb="FF000000"/>
      <name val="Times New Roman"/>
      <family val="1"/>
      <charset val="204"/>
    </font>
    <font>
      <u/>
      <sz val="11"/>
      <color theme="10"/>
      <name val="Calibri"/>
      <family val="2"/>
      <charset val="204"/>
      <scheme val="minor"/>
    </font>
    <font>
      <b/>
      <sz val="11"/>
      <name val="Times New Roman"/>
      <family val="1"/>
      <charset val="204"/>
    </font>
    <font>
      <sz val="11"/>
      <name val="Times New Roman"/>
      <family val="1"/>
      <charset val="204"/>
    </font>
    <font>
      <b/>
      <sz val="8"/>
      <color theme="1"/>
      <name val="Times New Roman"/>
      <family val="1"/>
      <charset val="204"/>
    </font>
    <font>
      <b/>
      <sz val="11"/>
      <color rgb="FFFF0000"/>
      <name val="Times New Roman"/>
      <family val="1"/>
      <charset val="204"/>
    </font>
    <font>
      <sz val="12"/>
      <color rgb="FF500050"/>
      <name val="Times New Roman"/>
      <family val="1"/>
      <charset val="204"/>
    </font>
    <font>
      <sz val="9"/>
      <color rgb="FF2C2D2E"/>
      <name val="Times New Roman"/>
      <family val="1"/>
      <charset val="204"/>
    </font>
    <font>
      <sz val="8"/>
      <color theme="9" tint="-0.249977111117893"/>
      <name val="Times New Roman"/>
      <family val="1"/>
      <charset val="204"/>
    </font>
    <font>
      <sz val="9"/>
      <color theme="1"/>
      <name val="Times New Roman"/>
      <family val="1"/>
      <charset val="204"/>
    </font>
    <font>
      <sz val="8"/>
      <name val="Times New Roman"/>
      <family val="1"/>
      <charset val="204"/>
    </font>
    <font>
      <sz val="12"/>
      <color theme="1"/>
      <name val="Times New Roman"/>
      <family val="1"/>
      <charset val="204"/>
    </font>
    <font>
      <sz val="12"/>
      <name val="Times New Roman"/>
      <family val="1"/>
      <charset val="204"/>
    </font>
    <font>
      <b/>
      <sz val="12"/>
      <color theme="1"/>
      <name val="Times New Roman"/>
      <family val="1"/>
      <charset val="204"/>
    </font>
    <font>
      <b/>
      <sz val="10"/>
      <name val="Times New Roman"/>
      <family val="1"/>
      <charset val="204"/>
    </font>
    <font>
      <sz val="10"/>
      <name val="Calibri"/>
      <family val="2"/>
      <charset val="204"/>
      <scheme val="minor"/>
    </font>
    <font>
      <b/>
      <sz val="10"/>
      <name val="Calibri"/>
      <family val="2"/>
      <charset val="204"/>
      <scheme val="minor"/>
    </font>
    <font>
      <b/>
      <sz val="11"/>
      <color theme="1"/>
      <name val="Calibri"/>
      <family val="2"/>
      <charset val="204"/>
      <scheme val="minor"/>
    </font>
    <font>
      <sz val="14"/>
      <name val="Times New Roman"/>
      <family val="1"/>
      <charset val="204"/>
    </font>
    <font>
      <sz val="14"/>
      <color theme="9" tint="-0.249977111117893"/>
      <name val="Times New Roman"/>
      <family val="1"/>
      <charset val="204"/>
    </font>
    <font>
      <sz val="14"/>
      <color theme="1"/>
      <name val="Times New Roman"/>
      <family val="1"/>
      <charset val="204"/>
    </font>
    <font>
      <sz val="10"/>
      <name val="Times New Roman"/>
      <family val="1"/>
      <charset val="204"/>
    </font>
    <font>
      <b/>
      <u/>
      <sz val="11"/>
      <color theme="1"/>
      <name val="Times New Roman"/>
      <family val="1"/>
      <charset val="204"/>
    </font>
    <font>
      <sz val="11"/>
      <color theme="1"/>
      <name val="Calibri"/>
      <family val="2"/>
      <charset val="204"/>
      <scheme val="minor"/>
    </font>
    <font>
      <b/>
      <sz val="12"/>
      <color rgb="FF2C2D2E"/>
      <name val="Times New Roman"/>
      <family val="1"/>
      <charset val="204"/>
    </font>
  </fonts>
  <fills count="1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99CC"/>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00B0F0"/>
        <bgColor indexed="64"/>
      </patternFill>
    </fill>
    <fill>
      <patternFill patternType="solid">
        <fgColor rgb="FFFFC000"/>
        <bgColor indexed="64"/>
      </patternFill>
    </fill>
    <fill>
      <patternFill patternType="solid">
        <fgColor rgb="FF00CCFF"/>
        <bgColor indexed="64"/>
      </patternFill>
    </fill>
    <fill>
      <patternFill patternType="solid">
        <fgColor rgb="FF92D050"/>
        <bgColor indexed="64"/>
      </patternFill>
    </fill>
    <fill>
      <patternFill patternType="solid">
        <fgColor rgb="FFFF0000"/>
        <bgColor indexed="64"/>
      </patternFill>
    </fill>
    <fill>
      <patternFill patternType="solid">
        <fgColor rgb="FFFFCCFF"/>
        <bgColor indexed="64"/>
      </patternFill>
    </fill>
    <fill>
      <patternFill patternType="solid">
        <fgColor rgb="FFCCCCFF"/>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bottom style="thin">
        <color indexed="64"/>
      </bottom>
      <diagonal/>
    </border>
    <border>
      <left/>
      <right/>
      <top/>
      <bottom style="medium">
        <color indexed="64"/>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s>
  <cellStyleXfs count="3">
    <xf numFmtId="0" fontId="0" fillId="0" borderId="0"/>
    <xf numFmtId="0" fontId="11" fillId="0" borderId="0" applyNumberFormat="0" applyFill="0" applyBorder="0" applyAlignment="0" applyProtection="0"/>
    <xf numFmtId="9" fontId="33" fillId="0" borderId="0" applyFont="0" applyFill="0" applyBorder="0" applyAlignment="0" applyProtection="0"/>
  </cellStyleXfs>
  <cellXfs count="439">
    <xf numFmtId="0" fontId="0" fillId="0" borderId="0" xfId="0"/>
    <xf numFmtId="0" fontId="1" fillId="0" borderId="0" xfId="0" applyFont="1"/>
    <xf numFmtId="0" fontId="1" fillId="0" borderId="1" xfId="0" applyFont="1" applyBorder="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xf>
    <xf numFmtId="0" fontId="1" fillId="0" borderId="5" xfId="0" applyFont="1" applyBorder="1"/>
    <xf numFmtId="0" fontId="2" fillId="0" borderId="5" xfId="0" applyFont="1" applyBorder="1" applyAlignment="1">
      <alignment horizontal="center" vertical="center" wrapText="1"/>
    </xf>
    <xf numFmtId="0" fontId="2" fillId="0" borderId="5" xfId="0" applyFont="1" applyBorder="1" applyAlignment="1">
      <alignment horizontal="center" vertical="center"/>
    </xf>
    <xf numFmtId="0" fontId="1" fillId="0" borderId="1" xfId="0" applyFont="1" applyBorder="1" applyAlignment="1">
      <alignment horizontal="left" wrapText="1"/>
    </xf>
    <xf numFmtId="0" fontId="1" fillId="0" borderId="1" xfId="0" applyFont="1" applyBorder="1" applyAlignment="1">
      <alignment horizontal="left" vertical="center" wrapText="1"/>
    </xf>
    <xf numFmtId="0" fontId="1" fillId="0" borderId="1" xfId="0" applyFont="1" applyBorder="1" applyAlignment="1">
      <alignment horizontal="left"/>
    </xf>
    <xf numFmtId="0" fontId="2" fillId="0" borderId="1" xfId="0" applyFont="1" applyBorder="1" applyAlignment="1">
      <alignment horizontal="left" vertical="center" wrapText="1"/>
    </xf>
    <xf numFmtId="9" fontId="1" fillId="0" borderId="1" xfId="0" applyNumberFormat="1" applyFont="1" applyBorder="1" applyAlignment="1">
      <alignment horizontal="center" vertical="center"/>
    </xf>
    <xf numFmtId="9" fontId="1" fillId="0" borderId="1" xfId="0" applyNumberFormat="1" applyFont="1" applyBorder="1" applyAlignment="1">
      <alignment horizontal="center"/>
    </xf>
    <xf numFmtId="14" fontId="1" fillId="0" borderId="1" xfId="0" applyNumberFormat="1" applyFont="1" applyBorder="1"/>
    <xf numFmtId="0" fontId="1" fillId="0" borderId="1" xfId="0" applyFont="1" applyBorder="1" applyAlignment="1">
      <alignment vertical="center"/>
    </xf>
    <xf numFmtId="14" fontId="1" fillId="0" borderId="1" xfId="0" applyNumberFormat="1" applyFont="1" applyBorder="1" applyAlignment="1">
      <alignment vertical="center"/>
    </xf>
    <xf numFmtId="0" fontId="1" fillId="2" borderId="1" xfId="0" applyFont="1" applyFill="1" applyBorder="1" applyAlignment="1">
      <alignment horizontal="center" vertical="center"/>
    </xf>
    <xf numFmtId="0" fontId="1" fillId="0" borderId="10" xfId="0" applyFont="1" applyBorder="1"/>
    <xf numFmtId="14" fontId="1" fillId="0" borderId="10" xfId="0" applyNumberFormat="1" applyFont="1" applyBorder="1"/>
    <xf numFmtId="0" fontId="1" fillId="0" borderId="5" xfId="0" applyFont="1" applyBorder="1" applyAlignment="1">
      <alignment horizontal="center" vertical="center"/>
    </xf>
    <xf numFmtId="0" fontId="1" fillId="0" borderId="5" xfId="0" applyFont="1" applyBorder="1" applyAlignment="1">
      <alignment horizontal="left" vertical="center" wrapText="1"/>
    </xf>
    <xf numFmtId="0" fontId="1" fillId="0" borderId="5"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xf numFmtId="14" fontId="1" fillId="0" borderId="0" xfId="0" applyNumberFormat="1" applyFont="1" applyBorder="1"/>
    <xf numFmtId="0" fontId="1" fillId="0" borderId="1" xfId="0" applyFont="1" applyBorder="1" applyAlignment="1">
      <alignment horizontal="center" wrapText="1"/>
    </xf>
    <xf numFmtId="0" fontId="1" fillId="0" borderId="0" xfId="0" applyFont="1" applyBorder="1" applyAlignment="1">
      <alignment wrapText="1"/>
    </xf>
    <xf numFmtId="14" fontId="1" fillId="0" borderId="1" xfId="0" applyNumberFormat="1" applyFont="1" applyBorder="1" applyAlignment="1">
      <alignment horizontal="right"/>
    </xf>
    <xf numFmtId="0" fontId="1" fillId="0" borderId="5" xfId="0" applyFont="1" applyBorder="1" applyAlignment="1">
      <alignment wrapText="1"/>
    </xf>
    <xf numFmtId="9" fontId="1" fillId="0" borderId="5" xfId="0" applyNumberFormat="1" applyFont="1" applyBorder="1" applyAlignment="1">
      <alignment horizontal="center" vertical="center"/>
    </xf>
    <xf numFmtId="14" fontId="1" fillId="0" borderId="5" xfId="0" applyNumberFormat="1" applyFont="1" applyBorder="1"/>
    <xf numFmtId="9" fontId="1" fillId="0" borderId="1" xfId="0" applyNumberFormat="1" applyFont="1" applyBorder="1" applyAlignment="1">
      <alignment vertical="center"/>
    </xf>
    <xf numFmtId="9" fontId="1" fillId="0" borderId="1" xfId="0" applyNumberFormat="1" applyFont="1" applyBorder="1"/>
    <xf numFmtId="0" fontId="2" fillId="0" borderId="0" xfId="0" applyFont="1"/>
    <xf numFmtId="3" fontId="1" fillId="0" borderId="0" xfId="0" applyNumberFormat="1" applyFont="1"/>
    <xf numFmtId="9" fontId="1" fillId="0" borderId="5" xfId="0" applyNumberFormat="1" applyFont="1" applyBorder="1"/>
    <xf numFmtId="0" fontId="4" fillId="0" borderId="5" xfId="0" applyFont="1" applyBorder="1"/>
    <xf numFmtId="3" fontId="1" fillId="0" borderId="0" xfId="0" applyNumberFormat="1" applyFont="1" applyAlignment="1">
      <alignment horizontal="left"/>
    </xf>
    <xf numFmtId="0" fontId="1" fillId="4" borderId="0" xfId="0" applyFont="1" applyFill="1"/>
    <xf numFmtId="0" fontId="1" fillId="2" borderId="0" xfId="0" applyFont="1" applyFill="1"/>
    <xf numFmtId="0" fontId="1" fillId="2" borderId="1" xfId="0" applyFont="1" applyFill="1" applyBorder="1"/>
    <xf numFmtId="9" fontId="1" fillId="2" borderId="1" xfId="0" applyNumberFormat="1" applyFont="1" applyFill="1" applyBorder="1"/>
    <xf numFmtId="14" fontId="1" fillId="2" borderId="1" xfId="0" applyNumberFormat="1" applyFont="1" applyFill="1" applyBorder="1"/>
    <xf numFmtId="0" fontId="1" fillId="0" borderId="1" xfId="0" applyFont="1" applyBorder="1" applyAlignment="1">
      <alignment horizontal="right" wrapText="1"/>
    </xf>
    <xf numFmtId="0" fontId="5" fillId="4" borderId="0" xfId="0" applyFont="1" applyFill="1"/>
    <xf numFmtId="3" fontId="5" fillId="4" borderId="0" xfId="0" applyNumberFormat="1" applyFont="1" applyFill="1" applyAlignment="1">
      <alignment horizontal="left"/>
    </xf>
    <xf numFmtId="0" fontId="1" fillId="0" borderId="5" xfId="0" applyFont="1" applyBorder="1" applyAlignment="1">
      <alignment horizontal="left" vertical="center"/>
    </xf>
    <xf numFmtId="0" fontId="1" fillId="0" borderId="0" xfId="0" applyFont="1" applyAlignment="1">
      <alignment horizontal="left" vertical="center"/>
    </xf>
    <xf numFmtId="14" fontId="1" fillId="0" borderId="5" xfId="0" applyNumberFormat="1" applyFont="1" applyBorder="1" applyAlignment="1">
      <alignment horizontal="left" vertical="center"/>
    </xf>
    <xf numFmtId="2" fontId="1" fillId="0" borderId="1" xfId="0" applyNumberFormat="1" applyFont="1" applyBorder="1"/>
    <xf numFmtId="0" fontId="1" fillId="0" borderId="10" xfId="0" applyFont="1" applyBorder="1" applyAlignment="1">
      <alignment wrapText="1"/>
    </xf>
    <xf numFmtId="0" fontId="1" fillId="0" borderId="10" xfId="0" applyFont="1" applyBorder="1" applyAlignment="1">
      <alignment horizontal="center" vertical="center" wrapText="1"/>
    </xf>
    <xf numFmtId="0" fontId="1" fillId="3" borderId="1" xfId="0" applyFont="1" applyFill="1" applyBorder="1"/>
    <xf numFmtId="9" fontId="1" fillId="0" borderId="0" xfId="0" applyNumberFormat="1" applyFont="1" applyBorder="1"/>
    <xf numFmtId="4" fontId="1" fillId="2" borderId="1" xfId="0" applyNumberFormat="1" applyFont="1" applyFill="1" applyBorder="1"/>
    <xf numFmtId="0" fontId="2" fillId="2" borderId="1" xfId="0" applyFont="1" applyFill="1" applyBorder="1"/>
    <xf numFmtId="0" fontId="6" fillId="0" borderId="1" xfId="0" applyFont="1" applyBorder="1"/>
    <xf numFmtId="0" fontId="6" fillId="0" borderId="1" xfId="0" applyFont="1" applyBorder="1" applyAlignment="1">
      <alignment vertical="center"/>
    </xf>
    <xf numFmtId="9" fontId="6" fillId="0" borderId="1" xfId="0" applyNumberFormat="1" applyFont="1" applyBorder="1"/>
    <xf numFmtId="0" fontId="6" fillId="0" borderId="1" xfId="0" applyFont="1" applyBorder="1" applyAlignment="1">
      <alignment wrapText="1"/>
    </xf>
    <xf numFmtId="0" fontId="6" fillId="0" borderId="1" xfId="0" applyFont="1" applyBorder="1" applyAlignment="1">
      <alignment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5" xfId="0" applyFont="1" applyBorder="1" applyAlignment="1">
      <alignment horizontal="center" vertical="center"/>
    </xf>
    <xf numFmtId="0" fontId="6" fillId="0" borderId="5" xfId="0" applyFont="1" applyBorder="1" applyAlignment="1">
      <alignment vertical="center"/>
    </xf>
    <xf numFmtId="0" fontId="6" fillId="0" borderId="5" xfId="0" applyFont="1" applyBorder="1"/>
    <xf numFmtId="9" fontId="6" fillId="0" borderId="5" xfId="0" applyNumberFormat="1" applyFont="1" applyBorder="1"/>
    <xf numFmtId="0" fontId="3" fillId="3" borderId="1" xfId="0" applyFont="1" applyFill="1" applyBorder="1" applyAlignment="1">
      <alignment wrapText="1"/>
    </xf>
    <xf numFmtId="9" fontId="6" fillId="0" borderId="1" xfId="0" applyNumberFormat="1" applyFont="1" applyBorder="1" applyAlignment="1">
      <alignment horizontal="center" vertical="center"/>
    </xf>
    <xf numFmtId="0" fontId="7" fillId="0" borderId="1" xfId="0" applyFont="1" applyBorder="1" applyAlignment="1">
      <alignment vertical="center"/>
    </xf>
    <xf numFmtId="0" fontId="2" fillId="0" borderId="1" xfId="0" applyFont="1" applyBorder="1"/>
    <xf numFmtId="14" fontId="2" fillId="0" borderId="1" xfId="0" applyNumberFormat="1" applyFont="1" applyBorder="1"/>
    <xf numFmtId="0" fontId="2" fillId="0" borderId="1" xfId="0" applyFont="1" applyBorder="1" applyAlignment="1">
      <alignment wrapText="1"/>
    </xf>
    <xf numFmtId="0" fontId="2" fillId="0" borderId="1" xfId="0" applyFont="1" applyBorder="1" applyAlignment="1">
      <alignment horizontal="center" wrapText="1"/>
    </xf>
    <xf numFmtId="9" fontId="2" fillId="0" borderId="1" xfId="0" applyNumberFormat="1" applyFont="1" applyBorder="1"/>
    <xf numFmtId="0" fontId="8" fillId="0" borderId="1" xfId="0" applyFont="1" applyBorder="1"/>
    <xf numFmtId="0" fontId="9" fillId="0" borderId="1" xfId="0" applyFont="1" applyBorder="1"/>
    <xf numFmtId="0" fontId="9" fillId="0" borderId="1" xfId="0" applyFont="1" applyBorder="1" applyAlignment="1">
      <alignment horizontal="center" vertical="center"/>
    </xf>
    <xf numFmtId="9" fontId="9" fillId="0" borderId="1" xfId="0" applyNumberFormat="1" applyFont="1" applyBorder="1"/>
    <xf numFmtId="0" fontId="6" fillId="5" borderId="1" xfId="0" applyFont="1" applyFill="1" applyBorder="1" applyAlignment="1">
      <alignment horizontal="center" vertical="center"/>
    </xf>
    <xf numFmtId="0" fontId="6" fillId="5" borderId="1" xfId="0" applyFont="1" applyFill="1" applyBorder="1" applyAlignment="1">
      <alignment vertical="center" wrapText="1"/>
    </xf>
    <xf numFmtId="0" fontId="6" fillId="5" borderId="1" xfId="0" applyFont="1" applyFill="1" applyBorder="1" applyAlignment="1">
      <alignment wrapText="1"/>
    </xf>
    <xf numFmtId="9" fontId="6" fillId="5" borderId="1" xfId="0" applyNumberFormat="1" applyFont="1" applyFill="1" applyBorder="1" applyAlignment="1">
      <alignment horizontal="center" vertical="center"/>
    </xf>
    <xf numFmtId="0" fontId="6" fillId="5" borderId="1" xfId="0" applyFont="1" applyFill="1" applyBorder="1"/>
    <xf numFmtId="0" fontId="2" fillId="0" borderId="5" xfId="0" applyFont="1" applyBorder="1"/>
    <xf numFmtId="9" fontId="2" fillId="0" borderId="5" xfId="0" applyNumberFormat="1" applyFont="1" applyBorder="1"/>
    <xf numFmtId="14" fontId="2" fillId="0" borderId="5" xfId="0" applyNumberFormat="1" applyFont="1" applyBorder="1"/>
    <xf numFmtId="0" fontId="1" fillId="6" borderId="0" xfId="0" applyFont="1" applyFill="1"/>
    <xf numFmtId="0" fontId="10" fillId="0" borderId="1" xfId="0" applyFont="1" applyBorder="1"/>
    <xf numFmtId="4" fontId="1" fillId="0" borderId="0" xfId="0" applyNumberFormat="1" applyFont="1"/>
    <xf numFmtId="0" fontId="12" fillId="0" borderId="1" xfId="0" applyFont="1" applyBorder="1"/>
    <xf numFmtId="0" fontId="13" fillId="0" borderId="1" xfId="0" applyFont="1" applyBorder="1"/>
    <xf numFmtId="0" fontId="11" fillId="0" borderId="1" xfId="1" applyBorder="1"/>
    <xf numFmtId="0" fontId="1" fillId="7" borderId="5" xfId="0" applyFont="1" applyFill="1" applyBorder="1"/>
    <xf numFmtId="0" fontId="1" fillId="7" borderId="5" xfId="0" applyFont="1" applyFill="1" applyBorder="1" applyAlignment="1">
      <alignment horizontal="center" vertical="center"/>
    </xf>
    <xf numFmtId="9" fontId="1" fillId="7" borderId="5" xfId="0" applyNumberFormat="1" applyFont="1" applyFill="1" applyBorder="1" applyAlignment="1">
      <alignment horizontal="center" vertical="center"/>
    </xf>
    <xf numFmtId="14" fontId="1" fillId="7" borderId="5" xfId="0" applyNumberFormat="1" applyFont="1" applyFill="1" applyBorder="1"/>
    <xf numFmtId="9" fontId="1" fillId="0" borderId="1" xfId="0" applyNumberFormat="1" applyFont="1" applyBorder="1" applyAlignment="1">
      <alignment horizontal="right"/>
    </xf>
    <xf numFmtId="0" fontId="3" fillId="0" borderId="0" xfId="0" applyFont="1"/>
    <xf numFmtId="4"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xf numFmtId="0" fontId="3" fillId="0" borderId="1" xfId="0" applyFont="1" applyBorder="1" applyAlignment="1">
      <alignment horizontal="center"/>
    </xf>
    <xf numFmtId="0" fontId="3" fillId="0" borderId="0" xfId="0" applyFont="1" applyBorder="1"/>
    <xf numFmtId="4" fontId="14" fillId="0" borderId="12" xfId="0" applyNumberFormat="1" applyFont="1" applyBorder="1" applyAlignment="1">
      <alignment horizontal="center" vertical="center" wrapText="1"/>
    </xf>
    <xf numFmtId="4" fontId="14" fillId="0" borderId="0" xfId="0" applyNumberFormat="1" applyFont="1" applyBorder="1" applyAlignment="1">
      <alignment horizontal="center" vertical="center" wrapText="1"/>
    </xf>
    <xf numFmtId="4" fontId="3" fillId="0" borderId="0" xfId="0" applyNumberFormat="1" applyFont="1" applyBorder="1"/>
    <xf numFmtId="4" fontId="3" fillId="0" borderId="1" xfId="0" applyNumberFormat="1" applyFont="1" applyBorder="1" applyAlignment="1">
      <alignment horizontal="center" vertical="center"/>
    </xf>
    <xf numFmtId="0" fontId="3" fillId="0" borderId="1" xfId="0" applyFont="1" applyBorder="1" applyAlignment="1">
      <alignment horizontal="left"/>
    </xf>
    <xf numFmtId="0" fontId="1" fillId="0" borderId="1" xfId="0" applyFont="1" applyBorder="1" applyAlignment="1"/>
    <xf numFmtId="10" fontId="1" fillId="0" borderId="1" xfId="0" applyNumberFormat="1" applyFont="1" applyBorder="1"/>
    <xf numFmtId="4" fontId="1" fillId="0" borderId="1" xfId="0" applyNumberFormat="1" applyFont="1" applyBorder="1"/>
    <xf numFmtId="0" fontId="1" fillId="0" borderId="1" xfId="0" applyFont="1" applyBorder="1" applyAlignment="1">
      <alignment horizontal="left" vertical="top"/>
    </xf>
    <xf numFmtId="0" fontId="1" fillId="0" borderId="0" xfId="0" applyFont="1" applyBorder="1" applyAlignment="1">
      <alignment horizontal="right" wrapText="1"/>
    </xf>
    <xf numFmtId="0" fontId="1" fillId="0" borderId="0" xfId="0" applyFont="1" applyAlignment="1"/>
    <xf numFmtId="4" fontId="1" fillId="0" borderId="0" xfId="0" applyNumberFormat="1" applyFont="1" applyAlignment="1">
      <alignment wrapText="1"/>
    </xf>
    <xf numFmtId="0" fontId="15" fillId="4" borderId="1" xfId="0" applyFont="1" applyFill="1" applyBorder="1" applyAlignment="1">
      <alignment horizontal="center" vertical="center"/>
    </xf>
    <xf numFmtId="0" fontId="16" fillId="0" borderId="1" xfId="0" applyFont="1" applyBorder="1" applyAlignment="1">
      <alignment horizontal="left" vertical="center" wrapText="1" indent="1"/>
    </xf>
    <xf numFmtId="0" fontId="3" fillId="0" borderId="1" xfId="0" applyFont="1" applyBorder="1" applyAlignment="1">
      <alignment horizontal="left" vertical="center"/>
    </xf>
    <xf numFmtId="4" fontId="3" fillId="0" borderId="0" xfId="0" applyNumberFormat="1" applyFont="1" applyBorder="1" applyAlignment="1">
      <alignment horizontal="center" vertical="center" wrapText="1"/>
    </xf>
    <xf numFmtId="9" fontId="1" fillId="0" borderId="0" xfId="0" applyNumberFormat="1" applyFont="1"/>
    <xf numFmtId="0" fontId="1" fillId="7" borderId="1" xfId="0" applyFont="1" applyFill="1" applyBorder="1"/>
    <xf numFmtId="9" fontId="1" fillId="7" borderId="1" xfId="0" applyNumberFormat="1" applyFont="1" applyFill="1" applyBorder="1"/>
    <xf numFmtId="0" fontId="1" fillId="7" borderId="1" xfId="0" applyFont="1" applyFill="1" applyBorder="1" applyAlignment="1">
      <alignment horizontal="center" vertical="center"/>
    </xf>
    <xf numFmtId="0" fontId="17" fillId="0" borderId="1" xfId="0" applyFont="1" applyBorder="1"/>
    <xf numFmtId="0" fontId="1" fillId="4" borderId="1" xfId="0" applyFont="1" applyFill="1" applyBorder="1"/>
    <xf numFmtId="4" fontId="3" fillId="0" borderId="1" xfId="0" applyNumberFormat="1" applyFont="1" applyBorder="1" applyAlignment="1">
      <alignment horizontal="center"/>
    </xf>
    <xf numFmtId="0" fontId="18" fillId="0" borderId="1" xfId="0" applyFont="1" applyBorder="1"/>
    <xf numFmtId="0" fontId="18" fillId="0" borderId="1" xfId="0" applyFont="1" applyBorder="1" applyAlignment="1">
      <alignment horizontal="center" vertical="center"/>
    </xf>
    <xf numFmtId="4" fontId="18" fillId="0" borderId="1" xfId="0" applyNumberFormat="1" applyFont="1" applyBorder="1" applyAlignment="1">
      <alignment horizontal="center" vertical="center"/>
    </xf>
    <xf numFmtId="0" fontId="18" fillId="0" borderId="2" xfId="0" applyFont="1" applyBorder="1"/>
    <xf numFmtId="0" fontId="18" fillId="0" borderId="1" xfId="0" applyFont="1" applyBorder="1" applyAlignment="1">
      <alignment horizontal="left" vertical="center" wrapText="1"/>
    </xf>
    <xf numFmtId="0" fontId="18" fillId="0" borderId="1" xfId="0" applyFont="1" applyBorder="1" applyAlignment="1">
      <alignment horizontal="center" vertical="center" wrapText="1"/>
    </xf>
    <xf numFmtId="4" fontId="18" fillId="0" borderId="1" xfId="0" applyNumberFormat="1" applyFont="1" applyBorder="1" applyAlignment="1">
      <alignment horizontal="center" vertical="center" wrapText="1"/>
    </xf>
    <xf numFmtId="0" fontId="18" fillId="0" borderId="2" xfId="0" applyFont="1" applyBorder="1" applyAlignment="1">
      <alignment wrapText="1"/>
    </xf>
    <xf numFmtId="0" fontId="18" fillId="3" borderId="1" xfId="0" applyFont="1" applyFill="1" applyBorder="1" applyAlignment="1">
      <alignment vertical="center" wrapText="1"/>
    </xf>
    <xf numFmtId="0" fontId="18" fillId="3" borderId="1" xfId="0" applyFont="1" applyFill="1" applyBorder="1" applyAlignment="1">
      <alignment horizontal="center" vertical="center"/>
    </xf>
    <xf numFmtId="4" fontId="18" fillId="3" borderId="1" xfId="0" applyNumberFormat="1" applyFont="1" applyFill="1" applyBorder="1" applyAlignment="1">
      <alignment horizontal="center" vertical="center"/>
    </xf>
    <xf numFmtId="0" fontId="18" fillId="3" borderId="2" xfId="0" applyFont="1" applyFill="1" applyBorder="1" applyAlignment="1">
      <alignment vertical="center" wrapText="1"/>
    </xf>
    <xf numFmtId="0" fontId="18" fillId="0" borderId="1" xfId="0" applyFont="1" applyBorder="1" applyAlignment="1">
      <alignment wrapText="1"/>
    </xf>
    <xf numFmtId="0" fontId="18" fillId="0" borderId="1" xfId="0" applyFont="1" applyBorder="1" applyAlignment="1">
      <alignment horizontal="center"/>
    </xf>
    <xf numFmtId="0" fontId="13" fillId="2" borderId="1" xfId="0" applyFont="1" applyFill="1" applyBorder="1"/>
    <xf numFmtId="0" fontId="13" fillId="2" borderId="1" xfId="0" applyFont="1" applyFill="1" applyBorder="1" applyAlignment="1">
      <alignment horizontal="center" vertical="center"/>
    </xf>
    <xf numFmtId="9" fontId="13" fillId="2" borderId="1" xfId="0" applyNumberFormat="1" applyFont="1" applyFill="1" applyBorder="1"/>
    <xf numFmtId="0" fontId="19" fillId="0" borderId="1" xfId="0" applyFont="1" applyBorder="1"/>
    <xf numFmtId="0" fontId="4" fillId="0" borderId="1" xfId="0" applyFont="1" applyBorder="1" applyAlignment="1">
      <alignment vertical="center" wrapText="1"/>
    </xf>
    <xf numFmtId="0" fontId="3" fillId="0" borderId="1" xfId="0" applyFont="1" applyBorder="1" applyAlignment="1">
      <alignment wrapText="1"/>
    </xf>
    <xf numFmtId="0" fontId="4" fillId="0" borderId="0" xfId="0" applyFont="1" applyAlignment="1">
      <alignment vertical="center" wrapText="1"/>
    </xf>
    <xf numFmtId="0" fontId="20" fillId="0" borderId="1" xfId="0" applyFont="1" applyBorder="1"/>
    <xf numFmtId="0" fontId="20" fillId="0" borderId="1" xfId="0" applyFont="1" applyBorder="1" applyAlignment="1">
      <alignment horizontal="center" vertical="center"/>
    </xf>
    <xf numFmtId="4" fontId="20" fillId="0" borderId="1" xfId="0" applyNumberFormat="1" applyFont="1" applyBorder="1" applyAlignment="1">
      <alignment horizontal="center" vertical="center"/>
    </xf>
    <xf numFmtId="3" fontId="1" fillId="0" borderId="1" xfId="0" applyNumberFormat="1" applyFont="1" applyBorder="1"/>
    <xf numFmtId="0" fontId="1" fillId="0" borderId="4" xfId="0" applyFont="1" applyBorder="1"/>
    <xf numFmtId="9" fontId="1" fillId="0" borderId="10" xfId="0" applyNumberFormat="1" applyFont="1" applyBorder="1"/>
    <xf numFmtId="0" fontId="1" fillId="0" borderId="1" xfId="0" applyFont="1" applyBorder="1" applyAlignment="1">
      <alignment horizontal="center"/>
    </xf>
    <xf numFmtId="0" fontId="1" fillId="0" borderId="1" xfId="0" applyFont="1" applyBorder="1" applyAlignment="1">
      <alignment horizontal="right"/>
    </xf>
    <xf numFmtId="0" fontId="1" fillId="0" borderId="1" xfId="0" applyFont="1" applyBorder="1" applyAlignment="1">
      <alignment horizontal="center" vertical="center"/>
    </xf>
    <xf numFmtId="4" fontId="1" fillId="0" borderId="5" xfId="0" applyNumberFormat="1" applyFont="1" applyBorder="1"/>
    <xf numFmtId="0" fontId="1" fillId="2" borderId="1" xfId="0" applyFont="1" applyFill="1" applyBorder="1" applyAlignment="1">
      <alignment wrapText="1"/>
    </xf>
    <xf numFmtId="0" fontId="1" fillId="2" borderId="1" xfId="0" applyFont="1" applyFill="1" applyBorder="1" applyAlignment="1">
      <alignment horizontal="right" wrapText="1"/>
    </xf>
    <xf numFmtId="0" fontId="1" fillId="2" borderId="1" xfId="0" applyFont="1" applyFill="1" applyBorder="1" applyAlignment="1">
      <alignment horizontal="right"/>
    </xf>
    <xf numFmtId="0" fontId="20" fillId="4" borderId="1" xfId="0" applyFont="1" applyFill="1" applyBorder="1"/>
    <xf numFmtId="0" fontId="3" fillId="4" borderId="1" xfId="0" applyFont="1" applyFill="1" applyBorder="1"/>
    <xf numFmtId="0" fontId="3" fillId="4" borderId="1" xfId="0" applyFont="1" applyFill="1" applyBorder="1" applyAlignment="1">
      <alignment horizontal="left" vertical="center"/>
    </xf>
    <xf numFmtId="0" fontId="20" fillId="8" borderId="1" xfId="0" applyFont="1" applyFill="1" applyBorder="1"/>
    <xf numFmtId="0" fontId="18" fillId="5" borderId="1" xfId="0" applyFont="1" applyFill="1" applyBorder="1"/>
    <xf numFmtId="0" fontId="18" fillId="9" borderId="1" xfId="0" applyFont="1" applyFill="1" applyBorder="1"/>
    <xf numFmtId="0" fontId="18" fillId="9" borderId="1" xfId="0" applyFont="1" applyFill="1" applyBorder="1" applyAlignment="1">
      <alignment horizontal="left" vertical="center"/>
    </xf>
    <xf numFmtId="0" fontId="18" fillId="9" borderId="1" xfId="0" applyFont="1" applyFill="1" applyBorder="1" applyAlignment="1">
      <alignment vertical="center"/>
    </xf>
    <xf numFmtId="0" fontId="18" fillId="10" borderId="1" xfId="0" applyFont="1" applyFill="1" applyBorder="1"/>
    <xf numFmtId="4" fontId="3" fillId="0" borderId="0" xfId="0" applyNumberFormat="1" applyFont="1"/>
    <xf numFmtId="4" fontId="3" fillId="0" borderId="0" xfId="0" applyNumberFormat="1" applyFont="1" applyBorder="1" applyAlignment="1">
      <alignment horizontal="center" vertical="center" wrapText="1"/>
    </xf>
    <xf numFmtId="0" fontId="1" fillId="0" borderId="0" xfId="0" applyFont="1" applyAlignment="1">
      <alignment horizontal="left"/>
    </xf>
    <xf numFmtId="0" fontId="20" fillId="3" borderId="1" xfId="0" applyFont="1" applyFill="1" applyBorder="1" applyAlignment="1">
      <alignment horizontal="left"/>
    </xf>
    <xf numFmtId="0" fontId="3" fillId="11" borderId="1" xfId="0" applyFont="1" applyFill="1" applyBorder="1"/>
    <xf numFmtId="0" fontId="3" fillId="3" borderId="1" xfId="0" applyFont="1" applyFill="1" applyBorder="1"/>
    <xf numFmtId="0" fontId="3" fillId="3" borderId="1" xfId="0" applyFont="1" applyFill="1" applyBorder="1" applyAlignment="1">
      <alignment horizontal="center" vertical="center"/>
    </xf>
    <xf numFmtId="4" fontId="3" fillId="3" borderId="1" xfId="0" applyNumberFormat="1" applyFont="1" applyFill="1" applyBorder="1" applyAlignment="1">
      <alignment horizontal="center" vertical="center"/>
    </xf>
    <xf numFmtId="0" fontId="3" fillId="2" borderId="1" xfId="0" applyFont="1" applyFill="1" applyBorder="1" applyAlignment="1">
      <alignment horizontal="left"/>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19" fillId="0" borderId="1" xfId="0" applyFont="1" applyBorder="1" applyAlignment="1">
      <alignment wrapText="1"/>
    </xf>
    <xf numFmtId="9" fontId="1" fillId="0" borderId="1" xfId="0" applyNumberFormat="1" applyFont="1" applyBorder="1" applyAlignment="1">
      <alignment horizontal="center" vertical="center" wrapText="1"/>
    </xf>
    <xf numFmtId="0" fontId="1" fillId="0" borderId="5" xfId="0" applyFont="1" applyBorder="1" applyAlignment="1">
      <alignment horizontal="center" vertical="center"/>
    </xf>
    <xf numFmtId="0" fontId="1" fillId="0" borderId="10" xfId="0" applyFont="1" applyBorder="1" applyAlignment="1">
      <alignment vertical="center"/>
    </xf>
    <xf numFmtId="9" fontId="1" fillId="0" borderId="10" xfId="0" applyNumberFormat="1" applyFont="1" applyBorder="1" applyAlignment="1">
      <alignment horizontal="center" vertical="center" wrapText="1"/>
    </xf>
    <xf numFmtId="0" fontId="1" fillId="0" borderId="5" xfId="0" applyFont="1" applyBorder="1" applyAlignment="1">
      <alignment vertical="center"/>
    </xf>
    <xf numFmtId="9" fontId="1" fillId="0" borderId="5" xfId="0" applyNumberFormat="1" applyFont="1" applyBorder="1" applyAlignment="1">
      <alignment horizontal="center" vertical="center" wrapText="1"/>
    </xf>
    <xf numFmtId="0" fontId="1" fillId="0" borderId="1" xfId="0" applyNumberFormat="1" applyFont="1" applyBorder="1"/>
    <xf numFmtId="0" fontId="2"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1" fillId="2" borderId="1" xfId="0" applyFont="1" applyFill="1" applyBorder="1" applyAlignment="1">
      <alignment horizontal="left" vertical="center"/>
    </xf>
    <xf numFmtId="14" fontId="1" fillId="2" borderId="1" xfId="0" applyNumberFormat="1" applyFont="1" applyFill="1" applyBorder="1" applyAlignment="1">
      <alignment horizontal="left" vertical="center"/>
    </xf>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14" fontId="1" fillId="2" borderId="1" xfId="0" applyNumberFormat="1" applyFont="1" applyFill="1" applyBorder="1" applyAlignment="1">
      <alignment horizontal="left" vertical="center" wrapText="1"/>
    </xf>
    <xf numFmtId="0" fontId="1" fillId="2" borderId="1" xfId="0" applyFont="1" applyFill="1" applyBorder="1" applyAlignment="1">
      <alignment horizontal="left"/>
    </xf>
    <xf numFmtId="14" fontId="1" fillId="2" borderId="1" xfId="0" applyNumberFormat="1" applyFont="1" applyFill="1" applyBorder="1" applyAlignment="1">
      <alignment horizontal="left"/>
    </xf>
    <xf numFmtId="14" fontId="1" fillId="2" borderId="1" xfId="0" applyNumberFormat="1" applyFont="1" applyFill="1" applyBorder="1" applyAlignment="1">
      <alignment horizontal="center" vertical="center"/>
    </xf>
    <xf numFmtId="0" fontId="1" fillId="2" borderId="0" xfId="0" applyFont="1" applyFill="1" applyAlignment="1">
      <alignment horizontal="center"/>
    </xf>
    <xf numFmtId="0" fontId="2" fillId="2" borderId="0" xfId="0" applyFont="1" applyFill="1"/>
    <xf numFmtId="0" fontId="1" fillId="0" borderId="5" xfId="0" applyFont="1" applyBorder="1" applyAlignment="1">
      <alignment horizontal="right"/>
    </xf>
    <xf numFmtId="0" fontId="1" fillId="12" borderId="1" xfId="0" applyFont="1" applyFill="1" applyBorder="1"/>
    <xf numFmtId="3" fontId="1" fillId="0" borderId="5" xfId="0" applyNumberFormat="1" applyFont="1" applyBorder="1"/>
    <xf numFmtId="4" fontId="3" fillId="0" borderId="1" xfId="0" applyNumberFormat="1" applyFont="1" applyBorder="1"/>
    <xf numFmtId="2" fontId="3" fillId="0" borderId="1" xfId="0" applyNumberFormat="1" applyFont="1" applyBorder="1"/>
    <xf numFmtId="14" fontId="3" fillId="3" borderId="1" xfId="0" applyNumberFormat="1" applyFont="1" applyFill="1" applyBorder="1" applyAlignment="1">
      <alignment horizontal="right" vertical="center" wrapText="1"/>
    </xf>
    <xf numFmtId="0" fontId="3" fillId="0" borderId="2" xfId="0" applyFont="1" applyBorder="1"/>
    <xf numFmtId="4" fontId="20" fillId="0" borderId="2" xfId="0" applyNumberFormat="1" applyFont="1" applyBorder="1" applyAlignment="1">
      <alignment horizontal="center" vertical="center"/>
    </xf>
    <xf numFmtId="0" fontId="3" fillId="0" borderId="1" xfId="0" applyFont="1" applyFill="1" applyBorder="1"/>
    <xf numFmtId="0" fontId="14" fillId="0" borderId="1" xfId="0" applyFont="1" applyBorder="1"/>
    <xf numFmtId="0" fontId="12" fillId="0" borderId="6" xfId="0" applyFont="1" applyBorder="1"/>
    <xf numFmtId="0" fontId="12" fillId="0" borderId="8" xfId="0" applyFont="1" applyBorder="1"/>
    <xf numFmtId="0" fontId="21" fillId="0" borderId="1" xfId="0" applyFont="1" applyBorder="1" applyAlignment="1">
      <alignment horizontal="left"/>
    </xf>
    <xf numFmtId="0" fontId="21" fillId="0" borderId="1" xfId="0" applyFont="1" applyBorder="1"/>
    <xf numFmtId="0" fontId="21" fillId="0" borderId="1" xfId="0" applyFont="1" applyFill="1" applyBorder="1"/>
    <xf numFmtId="0" fontId="21" fillId="13" borderId="1" xfId="0" applyFont="1" applyFill="1" applyBorder="1"/>
    <xf numFmtId="0" fontId="21" fillId="14" borderId="1" xfId="0" applyFont="1" applyFill="1" applyBorder="1"/>
    <xf numFmtId="0" fontId="22" fillId="5" borderId="1" xfId="0" applyFont="1" applyFill="1" applyBorder="1"/>
    <xf numFmtId="0" fontId="23" fillId="0" borderId="1" xfId="0" applyFont="1" applyBorder="1"/>
    <xf numFmtId="0" fontId="1" fillId="14" borderId="1" xfId="0" applyFont="1" applyFill="1" applyBorder="1"/>
    <xf numFmtId="0" fontId="1" fillId="13" borderId="1" xfId="0" applyFont="1" applyFill="1" applyBorder="1"/>
    <xf numFmtId="0" fontId="1" fillId="5" borderId="1" xfId="0" applyFont="1" applyFill="1" applyBorder="1"/>
    <xf numFmtId="0" fontId="0" fillId="0" borderId="1" xfId="0" applyBorder="1"/>
    <xf numFmtId="3" fontId="1" fillId="0" borderId="5" xfId="0" applyNumberFormat="1" applyFont="1" applyBorder="1" applyAlignment="1">
      <alignment wrapText="1"/>
    </xf>
    <xf numFmtId="3" fontId="2" fillId="0" borderId="0" xfId="0" applyNumberFormat="1" applyFont="1"/>
    <xf numFmtId="0" fontId="2" fillId="0" borderId="0" xfId="0" applyFont="1" applyAlignment="1">
      <alignment horizontal="left"/>
    </xf>
    <xf numFmtId="16" fontId="1" fillId="0" borderId="1" xfId="0" applyNumberFormat="1" applyFont="1" applyBorder="1"/>
    <xf numFmtId="9" fontId="1" fillId="13" borderId="1" xfId="0" applyNumberFormat="1" applyFont="1" applyFill="1" applyBorder="1"/>
    <xf numFmtId="0" fontId="1" fillId="2" borderId="5" xfId="0" applyFont="1" applyFill="1" applyBorder="1"/>
    <xf numFmtId="0" fontId="1" fillId="2" borderId="5" xfId="0" applyFont="1" applyFill="1" applyBorder="1" applyAlignment="1">
      <alignment wrapText="1"/>
    </xf>
    <xf numFmtId="9" fontId="1" fillId="2" borderId="5" xfId="0" applyNumberFormat="1" applyFont="1" applyFill="1" applyBorder="1"/>
    <xf numFmtId="0" fontId="1" fillId="2" borderId="5" xfId="0" applyFont="1" applyFill="1" applyBorder="1" applyAlignment="1">
      <alignment horizontal="right"/>
    </xf>
    <xf numFmtId="16" fontId="1" fillId="0" borderId="1" xfId="0" applyNumberFormat="1" applyFont="1" applyBorder="1" applyAlignment="1">
      <alignment horizontal="right"/>
    </xf>
    <xf numFmtId="4" fontId="3" fillId="0" borderId="0" xfId="0" applyNumberFormat="1" applyFont="1" applyBorder="1" applyAlignment="1">
      <alignment horizontal="center" vertical="center" wrapText="1"/>
    </xf>
    <xf numFmtId="0" fontId="24" fillId="0" borderId="0" xfId="0" applyFont="1"/>
    <xf numFmtId="0" fontId="25" fillId="0" borderId="0" xfId="0" applyFont="1"/>
    <xf numFmtId="0" fontId="25" fillId="0" borderId="1" xfId="0" applyFont="1" applyBorder="1"/>
    <xf numFmtId="0" fontId="26" fillId="0" borderId="0" xfId="0" applyFont="1"/>
    <xf numFmtId="0" fontId="27" fillId="0" borderId="0" xfId="0" applyFont="1"/>
    <xf numFmtId="0" fontId="28" fillId="3" borderId="1" xfId="0" applyFont="1" applyFill="1" applyBorder="1"/>
    <xf numFmtId="0" fontId="28" fillId="3" borderId="1" xfId="0" applyFont="1" applyFill="1" applyBorder="1" applyAlignment="1">
      <alignment horizontal="left" vertical="center"/>
    </xf>
    <xf numFmtId="0" fontId="28" fillId="3" borderId="1" xfId="0" applyFont="1" applyFill="1" applyBorder="1" applyAlignment="1">
      <alignment vertical="center"/>
    </xf>
    <xf numFmtId="0" fontId="30" fillId="3" borderId="1" xfId="0" applyFont="1" applyFill="1" applyBorder="1"/>
    <xf numFmtId="0" fontId="30" fillId="0" borderId="0" xfId="0" applyFont="1"/>
    <xf numFmtId="16" fontId="1" fillId="0" borderId="5" xfId="0" applyNumberFormat="1" applyFont="1" applyBorder="1" applyAlignment="1">
      <alignment horizontal="right"/>
    </xf>
    <xf numFmtId="164" fontId="3" fillId="0" borderId="1" xfId="0" applyNumberFormat="1" applyFont="1" applyBorder="1"/>
    <xf numFmtId="0" fontId="3" fillId="4" borderId="0" xfId="0" applyFont="1" applyFill="1"/>
    <xf numFmtId="9" fontId="1" fillId="0" borderId="1" xfId="0" applyNumberFormat="1" applyFont="1" applyBorder="1" applyAlignment="1">
      <alignment horizontal="right" vertical="center"/>
    </xf>
    <xf numFmtId="0" fontId="1" fillId="0" borderId="1" xfId="0" applyFont="1" applyBorder="1" applyAlignment="1">
      <alignment horizontal="right" vertical="center"/>
    </xf>
    <xf numFmtId="0" fontId="25" fillId="0" borderId="1" xfId="0" applyFont="1" applyBorder="1" applyAlignment="1">
      <alignment wrapText="1"/>
    </xf>
    <xf numFmtId="0" fontId="1" fillId="0" borderId="1" xfId="0" applyFont="1" applyBorder="1" applyAlignment="1">
      <alignment horizontal="center" vertical="center"/>
    </xf>
    <xf numFmtId="0" fontId="26" fillId="0" borderId="1" xfId="0" applyFont="1" applyBorder="1"/>
    <xf numFmtId="0" fontId="26" fillId="0" borderId="1" xfId="0" applyFont="1" applyFill="1" applyBorder="1"/>
    <xf numFmtId="0" fontId="26" fillId="0" borderId="1" xfId="0" applyFont="1" applyFill="1" applyBorder="1" applyAlignment="1">
      <alignment wrapText="1"/>
    </xf>
    <xf numFmtId="0" fontId="31" fillId="0" borderId="0" xfId="0" applyFont="1"/>
    <xf numFmtId="3" fontId="25" fillId="0" borderId="1" xfId="0" applyNumberFormat="1" applyFont="1" applyBorder="1"/>
    <xf numFmtId="0" fontId="26" fillId="0" borderId="1" xfId="0" applyFont="1" applyBorder="1" applyAlignment="1">
      <alignment wrapText="1"/>
    </xf>
    <xf numFmtId="0" fontId="26" fillId="0" borderId="1" xfId="0" applyFont="1" applyBorder="1" applyAlignment="1">
      <alignment vertical="center"/>
    </xf>
    <xf numFmtId="0" fontId="26" fillId="0" borderId="5" xfId="0" applyFont="1" applyBorder="1"/>
    <xf numFmtId="0" fontId="24" fillId="0" borderId="25" xfId="0" applyFont="1" applyBorder="1"/>
    <xf numFmtId="0" fontId="26" fillId="0" borderId="1" xfId="0" applyFont="1" applyFill="1" applyBorder="1" applyAlignment="1">
      <alignment vertical="center"/>
    </xf>
    <xf numFmtId="0" fontId="25" fillId="0" borderId="1" xfId="0" applyFont="1" applyBorder="1" applyAlignment="1">
      <alignment vertical="center"/>
    </xf>
    <xf numFmtId="0" fontId="25" fillId="0" borderId="1" xfId="0" applyFont="1" applyBorder="1" applyAlignment="1">
      <alignment vertical="center" wrapText="1"/>
    </xf>
    <xf numFmtId="0" fontId="31" fillId="0" borderId="1" xfId="0" applyFont="1" applyBorder="1"/>
    <xf numFmtId="0" fontId="25" fillId="0" borderId="0" xfId="0" applyFont="1" applyAlignment="1">
      <alignment wrapText="1"/>
    </xf>
    <xf numFmtId="0" fontId="25" fillId="2" borderId="1" xfId="0" applyFont="1" applyFill="1" applyBorder="1" applyAlignment="1">
      <alignment wrapText="1"/>
    </xf>
    <xf numFmtId="0" fontId="26" fillId="0" borderId="5" xfId="0" applyFont="1" applyBorder="1" applyAlignment="1">
      <alignment wrapText="1"/>
    </xf>
    <xf numFmtId="3" fontId="3" fillId="0" borderId="1" xfId="0" applyNumberFormat="1" applyFont="1" applyBorder="1"/>
    <xf numFmtId="0" fontId="1" fillId="0" borderId="0" xfId="0" applyFont="1" applyAlignment="1">
      <alignment horizontal="right"/>
    </xf>
    <xf numFmtId="4" fontId="1" fillId="0" borderId="4" xfId="0" applyNumberFormat="1" applyFont="1" applyBorder="1"/>
    <xf numFmtId="0" fontId="1" fillId="0" borderId="24" xfId="0" applyFont="1" applyBorder="1" applyAlignment="1">
      <alignment horizontal="left" vertical="center"/>
    </xf>
    <xf numFmtId="0" fontId="1" fillId="0" borderId="5" xfId="0" applyFont="1" applyBorder="1" applyAlignment="1">
      <alignment horizontal="right" vertical="center"/>
    </xf>
    <xf numFmtId="9" fontId="1" fillId="0" borderId="5" xfId="0" applyNumberFormat="1" applyFont="1" applyBorder="1" applyAlignment="1">
      <alignment horizontal="right" vertical="center"/>
    </xf>
    <xf numFmtId="0" fontId="2" fillId="0" borderId="0" xfId="0" applyFont="1" applyAlignment="1">
      <alignment horizontal="center"/>
    </xf>
    <xf numFmtId="0" fontId="1" fillId="0" borderId="1" xfId="0" applyFont="1" applyFill="1" applyBorder="1"/>
    <xf numFmtId="16" fontId="1" fillId="0" borderId="1" xfId="0" applyNumberFormat="1" applyFont="1" applyFill="1" applyBorder="1"/>
    <xf numFmtId="2" fontId="2" fillId="0" borderId="0" xfId="0" applyNumberFormat="1" applyFont="1"/>
    <xf numFmtId="16" fontId="1" fillId="0" borderId="5" xfId="0" applyNumberFormat="1" applyFont="1" applyBorder="1"/>
    <xf numFmtId="0" fontId="1" fillId="0" borderId="0" xfId="0" applyFont="1" applyAlignment="1">
      <alignment wrapText="1"/>
    </xf>
    <xf numFmtId="10" fontId="1" fillId="0" borderId="5" xfId="0" applyNumberFormat="1" applyFont="1" applyBorder="1"/>
    <xf numFmtId="0" fontId="1" fillId="0" borderId="0" xfId="0" applyFont="1" applyAlignment="1">
      <alignment horizontal="center"/>
    </xf>
    <xf numFmtId="4" fontId="1" fillId="0" borderId="0" xfId="0" applyNumberFormat="1" applyFont="1" applyAlignment="1">
      <alignment horizontal="right"/>
    </xf>
    <xf numFmtId="10" fontId="1" fillId="7" borderId="5" xfId="0" applyNumberFormat="1" applyFont="1" applyFill="1" applyBorder="1"/>
    <xf numFmtId="3" fontId="2" fillId="0" borderId="25" xfId="0" applyNumberFormat="1" applyFont="1" applyBorder="1"/>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1" fillId="0" borderId="0" xfId="0" applyFont="1" applyBorder="1" applyAlignment="1">
      <alignment horizontal="left" vertical="center"/>
    </xf>
    <xf numFmtId="9" fontId="1" fillId="0" borderId="0" xfId="0" applyNumberFormat="1" applyFont="1" applyBorder="1" applyAlignment="1">
      <alignment horizontal="center" vertical="center"/>
    </xf>
    <xf numFmtId="165" fontId="1" fillId="0" borderId="1" xfId="0" applyNumberFormat="1" applyFont="1" applyBorder="1"/>
    <xf numFmtId="165" fontId="1" fillId="0" borderId="1" xfId="0" applyNumberFormat="1" applyFont="1" applyBorder="1" applyAlignment="1">
      <alignment horizontal="center" vertical="center"/>
    </xf>
    <xf numFmtId="0" fontId="2" fillId="0" borderId="1" xfId="0" applyFont="1" applyBorder="1" applyAlignment="1">
      <alignment horizontal="left" vertical="center"/>
    </xf>
    <xf numFmtId="0" fontId="0" fillId="4" borderId="0" xfId="0" applyFill="1"/>
    <xf numFmtId="0" fontId="0" fillId="0" borderId="0" xfId="0" applyAlignment="1">
      <alignment horizontal="left"/>
    </xf>
    <xf numFmtId="0" fontId="1" fillId="0" borderId="1" xfId="0" applyFont="1" applyBorder="1" applyAlignment="1">
      <alignment horizontal="center"/>
    </xf>
    <xf numFmtId="0" fontId="3" fillId="0" borderId="10" xfId="0" applyFont="1" applyBorder="1"/>
    <xf numFmtId="0" fontId="14" fillId="0" borderId="13" xfId="0" applyFont="1" applyBorder="1"/>
    <xf numFmtId="0" fontId="14" fillId="0" borderId="15" xfId="0" applyFont="1" applyBorder="1"/>
    <xf numFmtId="0" fontId="3" fillId="0" borderId="10" xfId="0" applyFont="1" applyBorder="1" applyAlignment="1">
      <alignment horizontal="center"/>
    </xf>
    <xf numFmtId="0" fontId="3" fillId="0" borderId="5" xfId="0" applyFont="1" applyBorder="1"/>
    <xf numFmtId="0" fontId="1" fillId="0" borderId="1" xfId="0" applyFont="1" applyBorder="1" applyAlignment="1">
      <alignment horizontal="center"/>
    </xf>
    <xf numFmtId="14" fontId="2" fillId="0" borderId="6" xfId="0" applyNumberFormat="1" applyFont="1" applyBorder="1" applyAlignment="1">
      <alignment horizontal="center"/>
    </xf>
    <xf numFmtId="0" fontId="1" fillId="0" borderId="29" xfId="0" applyFont="1" applyBorder="1"/>
    <xf numFmtId="0" fontId="1" fillId="0" borderId="32" xfId="0" applyFont="1" applyBorder="1"/>
    <xf numFmtId="0" fontId="1" fillId="0" borderId="33" xfId="0" applyFont="1" applyBorder="1"/>
    <xf numFmtId="0" fontId="1" fillId="0" borderId="32" xfId="0" applyFont="1" applyBorder="1" applyAlignment="1">
      <alignment wrapText="1"/>
    </xf>
    <xf numFmtId="0" fontId="1" fillId="0" borderId="1" xfId="0" applyNumberFormat="1" applyFont="1" applyBorder="1" applyAlignment="1">
      <alignment horizontal="center"/>
    </xf>
    <xf numFmtId="0" fontId="1" fillId="0" borderId="1" xfId="0" applyNumberFormat="1" applyFont="1" applyBorder="1" applyAlignment="1">
      <alignment wrapText="1"/>
    </xf>
    <xf numFmtId="0" fontId="1" fillId="0" borderId="35" xfId="0" applyFont="1" applyBorder="1"/>
    <xf numFmtId="0" fontId="1" fillId="0" borderId="36" xfId="0" applyFont="1" applyBorder="1"/>
    <xf numFmtId="0" fontId="1" fillId="0" borderId="1" xfId="2" applyNumberFormat="1" applyFont="1" applyBorder="1"/>
    <xf numFmtId="0" fontId="1" fillId="0" borderId="7" xfId="0" applyFont="1" applyBorder="1" applyAlignment="1">
      <alignment horizontal="center"/>
    </xf>
    <xf numFmtId="0" fontId="1" fillId="0" borderId="8" xfId="0" applyFont="1" applyBorder="1" applyAlignment="1">
      <alignment horizontal="center"/>
    </xf>
    <xf numFmtId="0" fontId="2" fillId="0" borderId="9"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9" fontId="1" fillId="0" borderId="26" xfId="0" applyNumberFormat="1" applyFont="1" applyBorder="1" applyAlignment="1">
      <alignment horizontal="left" wrapText="1"/>
    </xf>
    <xf numFmtId="9" fontId="1" fillId="0" borderId="28" xfId="0" applyNumberFormat="1" applyFont="1" applyBorder="1" applyAlignment="1">
      <alignment horizontal="left" wrapText="1"/>
    </xf>
    <xf numFmtId="9" fontId="1" fillId="0" borderId="30" xfId="0" applyNumberFormat="1" applyFont="1" applyBorder="1" applyAlignment="1">
      <alignment horizontal="left" wrapText="1"/>
    </xf>
    <xf numFmtId="14" fontId="2" fillId="0" borderId="7" xfId="0" applyNumberFormat="1"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31" xfId="0" applyFont="1" applyBorder="1" applyAlignment="1">
      <alignment horizontal="center"/>
    </xf>
    <xf numFmtId="0" fontId="1" fillId="0" borderId="3" xfId="0" applyFont="1" applyBorder="1" applyAlignment="1">
      <alignment horizontal="left"/>
    </xf>
    <xf numFmtId="0" fontId="1" fillId="0" borderId="31" xfId="0" applyFont="1" applyBorder="1" applyAlignment="1">
      <alignment horizontal="left"/>
    </xf>
    <xf numFmtId="9" fontId="1" fillId="0" borderId="2" xfId="0" applyNumberFormat="1" applyFont="1" applyBorder="1" applyAlignment="1">
      <alignment horizontal="left" wrapText="1"/>
    </xf>
    <xf numFmtId="9" fontId="1" fillId="0" borderId="3" xfId="0" applyNumberFormat="1" applyFont="1" applyBorder="1" applyAlignment="1">
      <alignment horizontal="left" wrapText="1"/>
    </xf>
    <xf numFmtId="9" fontId="1" fillId="0" borderId="31" xfId="0" applyNumberFormat="1" applyFont="1" applyBorder="1" applyAlignment="1">
      <alignment horizontal="left" wrapText="1"/>
    </xf>
    <xf numFmtId="0" fontId="1" fillId="0" borderId="1" xfId="0" applyFont="1" applyBorder="1" applyAlignment="1">
      <alignment horizontal="center"/>
    </xf>
    <xf numFmtId="0" fontId="2" fillId="0" borderId="34" xfId="0" applyFont="1" applyBorder="1" applyAlignment="1">
      <alignment horizontal="center"/>
    </xf>
    <xf numFmtId="0" fontId="1" fillId="0" borderId="1" xfId="0" applyFont="1" applyBorder="1" applyAlignment="1">
      <alignment horizontal="left"/>
    </xf>
    <xf numFmtId="9" fontId="1" fillId="0" borderId="2" xfId="0" applyNumberFormat="1" applyFont="1" applyBorder="1" applyAlignment="1">
      <alignment horizontal="left"/>
    </xf>
    <xf numFmtId="9" fontId="1" fillId="0" borderId="3" xfId="0" applyNumberFormat="1" applyFont="1" applyBorder="1" applyAlignment="1">
      <alignment horizontal="left"/>
    </xf>
    <xf numFmtId="9" fontId="1" fillId="0" borderId="31" xfId="0" applyNumberFormat="1" applyFont="1" applyBorder="1" applyAlignment="1">
      <alignment horizontal="left"/>
    </xf>
    <xf numFmtId="0" fontId="2" fillId="0" borderId="19"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1" xfId="0" applyFont="1" applyBorder="1" applyAlignment="1">
      <alignment horizontal="left" wrapText="1"/>
    </xf>
    <xf numFmtId="0" fontId="1" fillId="0" borderId="1" xfId="0" applyFont="1" applyBorder="1" applyAlignment="1">
      <alignment horizontal="center" wrapText="1"/>
    </xf>
    <xf numFmtId="0" fontId="1" fillId="0" borderId="4" xfId="0" applyFont="1" applyBorder="1" applyAlignment="1">
      <alignment horizontal="left"/>
    </xf>
    <xf numFmtId="0" fontId="1" fillId="0" borderId="2" xfId="0" applyFont="1" applyBorder="1" applyAlignment="1">
      <alignment horizontal="left"/>
    </xf>
    <xf numFmtId="0" fontId="1" fillId="0" borderId="26" xfId="0" applyFont="1" applyBorder="1" applyAlignment="1">
      <alignment horizontal="left"/>
    </xf>
    <xf numFmtId="0" fontId="1" fillId="0" borderId="27" xfId="0" applyFont="1" applyBorder="1" applyAlignment="1">
      <alignment horizontal="left"/>
    </xf>
    <xf numFmtId="0" fontId="1" fillId="0" borderId="0" xfId="0" applyFont="1" applyAlignment="1">
      <alignment horizontal="left"/>
    </xf>
    <xf numFmtId="0" fontId="2" fillId="0" borderId="0" xfId="0" applyFont="1" applyAlignment="1">
      <alignment horizontal="center"/>
    </xf>
    <xf numFmtId="2" fontId="1" fillId="0" borderId="0" xfId="0" applyNumberFormat="1" applyFont="1" applyAlignment="1">
      <alignment horizontal="center"/>
    </xf>
    <xf numFmtId="0" fontId="1" fillId="0" borderId="0" xfId="0" applyFont="1" applyAlignment="1">
      <alignment horizontal="center"/>
    </xf>
    <xf numFmtId="0" fontId="1" fillId="0" borderId="2" xfId="0" applyFont="1" applyBorder="1" applyAlignment="1">
      <alignment horizontal="center" wrapText="1"/>
    </xf>
    <xf numFmtId="0" fontId="1" fillId="0" borderId="4" xfId="0" applyFont="1" applyBorder="1" applyAlignment="1">
      <alignment horizontal="center" wrapText="1"/>
    </xf>
    <xf numFmtId="0" fontId="1" fillId="0" borderId="6"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1" xfId="0" applyFont="1" applyBorder="1" applyAlignment="1">
      <alignment horizontal="left" vertical="center" wrapText="1"/>
    </xf>
    <xf numFmtId="0" fontId="1" fillId="0" borderId="3" xfId="0" applyFont="1" applyBorder="1" applyAlignment="1">
      <alignment horizontal="center" wrapText="1"/>
    </xf>
    <xf numFmtId="0" fontId="2" fillId="0" borderId="0" xfId="0" applyFont="1" applyAlignment="1">
      <alignment horizontal="left"/>
    </xf>
    <xf numFmtId="0" fontId="1" fillId="0" borderId="2" xfId="0" applyFont="1" applyBorder="1" applyAlignment="1">
      <alignment horizontal="right" wrapText="1"/>
    </xf>
    <xf numFmtId="0" fontId="1" fillId="0" borderId="3" xfId="0" applyFont="1" applyBorder="1" applyAlignment="1">
      <alignment horizontal="right" wrapText="1"/>
    </xf>
    <xf numFmtId="0" fontId="1" fillId="0" borderId="4" xfId="0" applyFont="1" applyBorder="1" applyAlignment="1">
      <alignment horizontal="right" wrapText="1"/>
    </xf>
    <xf numFmtId="0" fontId="1" fillId="0" borderId="1" xfId="0" applyFont="1" applyBorder="1" applyAlignment="1">
      <alignment horizontal="center" vertical="center"/>
    </xf>
    <xf numFmtId="0" fontId="31" fillId="0" borderId="1" xfId="0" applyFont="1" applyBorder="1" applyAlignment="1">
      <alignment horizontal="center"/>
    </xf>
    <xf numFmtId="0" fontId="31" fillId="0" borderId="1" xfId="0" applyFont="1" applyBorder="1" applyAlignment="1">
      <alignment horizontal="left" wrapText="1"/>
    </xf>
    <xf numFmtId="0" fontId="31" fillId="0" borderId="2" xfId="0" applyFont="1" applyBorder="1" applyAlignment="1">
      <alignment horizontal="center"/>
    </xf>
    <xf numFmtId="0" fontId="31" fillId="0" borderId="3" xfId="0" applyFont="1" applyBorder="1" applyAlignment="1">
      <alignment horizontal="center"/>
    </xf>
    <xf numFmtId="0" fontId="31" fillId="0" borderId="4" xfId="0" applyFont="1" applyBorder="1" applyAlignment="1">
      <alignment horizontal="center"/>
    </xf>
    <xf numFmtId="0" fontId="31" fillId="0" borderId="2" xfId="0" applyFont="1" applyBorder="1" applyAlignment="1">
      <alignment horizontal="left"/>
    </xf>
    <xf numFmtId="0" fontId="31" fillId="0" borderId="3" xfId="0" applyFont="1" applyBorder="1" applyAlignment="1">
      <alignment horizontal="left"/>
    </xf>
    <xf numFmtId="0" fontId="31" fillId="0" borderId="4" xfId="0" applyFont="1" applyBorder="1" applyAlignment="1">
      <alignment horizontal="left"/>
    </xf>
    <xf numFmtId="0" fontId="23" fillId="0" borderId="18" xfId="0" applyFont="1" applyBorder="1" applyAlignment="1">
      <alignment horizontal="center"/>
    </xf>
    <xf numFmtId="0" fontId="1" fillId="0" borderId="10" xfId="0" applyFont="1" applyBorder="1" applyAlignment="1">
      <alignment horizontal="center" vertical="center"/>
    </xf>
    <xf numFmtId="0" fontId="1" fillId="0" borderId="5" xfId="0" applyFont="1" applyBorder="1" applyAlignment="1">
      <alignment horizontal="center" vertical="center"/>
    </xf>
    <xf numFmtId="0" fontId="6" fillId="0" borderId="1" xfId="0" applyFont="1" applyBorder="1" applyAlignment="1">
      <alignment horizontal="center" wrapText="1"/>
    </xf>
    <xf numFmtId="0" fontId="2" fillId="0" borderId="16" xfId="0" applyFont="1" applyBorder="1" applyAlignment="1">
      <alignment horizontal="center"/>
    </xf>
    <xf numFmtId="0" fontId="2" fillId="0" borderId="17" xfId="0" applyFont="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0" borderId="5" xfId="0" applyFont="1" applyBorder="1" applyAlignment="1">
      <alignment horizontal="left" wrapText="1"/>
    </xf>
    <xf numFmtId="0" fontId="30" fillId="0" borderId="0" xfId="0" applyFont="1" applyAlignment="1">
      <alignment horizontal="left" wrapText="1"/>
    </xf>
    <xf numFmtId="0" fontId="30" fillId="0" borderId="22" xfId="0" applyFont="1" applyBorder="1" applyAlignment="1">
      <alignment horizontal="left" wrapText="1"/>
    </xf>
    <xf numFmtId="0" fontId="30" fillId="0" borderId="20" xfId="0" applyFont="1" applyBorder="1" applyAlignment="1">
      <alignment horizontal="left" wrapText="1"/>
    </xf>
    <xf numFmtId="0" fontId="30" fillId="0" borderId="23" xfId="0" applyFont="1" applyBorder="1" applyAlignment="1">
      <alignment horizontal="left" wrapText="1"/>
    </xf>
    <xf numFmtId="0" fontId="30" fillId="0" borderId="21" xfId="0" applyFont="1" applyBorder="1" applyAlignment="1">
      <alignment horizontal="left" wrapText="1"/>
    </xf>
    <xf numFmtId="0" fontId="30" fillId="0" borderId="18" xfId="0" applyFont="1" applyBorder="1" applyAlignment="1">
      <alignment horizontal="left" wrapText="1"/>
    </xf>
    <xf numFmtId="0" fontId="30" fillId="0" borderId="24" xfId="0" applyFont="1" applyBorder="1" applyAlignment="1">
      <alignment horizontal="left" wrapText="1"/>
    </xf>
    <xf numFmtId="0" fontId="29" fillId="0" borderId="2" xfId="0" applyFont="1" applyBorder="1" applyAlignment="1">
      <alignment horizontal="left"/>
    </xf>
    <xf numFmtId="0" fontId="29" fillId="0" borderId="3" xfId="0" applyFont="1" applyBorder="1" applyAlignment="1">
      <alignment horizontal="left"/>
    </xf>
    <xf numFmtId="0" fontId="29" fillId="0" borderId="4" xfId="0" applyFont="1" applyBorder="1" applyAlignment="1">
      <alignment horizontal="left"/>
    </xf>
    <xf numFmtId="0" fontId="30" fillId="0" borderId="22" xfId="0" applyFont="1" applyBorder="1" applyAlignment="1">
      <alignment horizontal="left"/>
    </xf>
    <xf numFmtId="0" fontId="30" fillId="0" borderId="20" xfId="0" applyFont="1" applyBorder="1" applyAlignment="1">
      <alignment horizontal="left"/>
    </xf>
    <xf numFmtId="4" fontId="3" fillId="0" borderId="0" xfId="0" applyNumberFormat="1" applyFont="1" applyBorder="1" applyAlignment="1">
      <alignment horizontal="center" vertical="center" wrapText="1"/>
    </xf>
    <xf numFmtId="0" fontId="28" fillId="3" borderId="1" xfId="0" applyFont="1" applyFill="1" applyBorder="1" applyAlignment="1">
      <alignment horizontal="left" vertical="center"/>
    </xf>
    <xf numFmtId="0" fontId="28" fillId="0" borderId="21" xfId="0" applyFont="1" applyBorder="1" applyAlignment="1">
      <alignment horizontal="left" wrapText="1"/>
    </xf>
    <xf numFmtId="0" fontId="28" fillId="0" borderId="18" xfId="0" applyFont="1" applyBorder="1" applyAlignment="1">
      <alignment horizontal="left" wrapText="1"/>
    </xf>
    <xf numFmtId="0" fontId="28" fillId="0" borderId="2" xfId="0" applyFont="1" applyBorder="1" applyAlignment="1">
      <alignment horizontal="left" vertical="center" wrapText="1"/>
    </xf>
    <xf numFmtId="0" fontId="28" fillId="0" borderId="3" xfId="0" applyFont="1" applyBorder="1" applyAlignment="1">
      <alignment horizontal="left" vertical="center" wrapText="1"/>
    </xf>
    <xf numFmtId="0" fontId="28" fillId="0" borderId="4" xfId="0" applyFont="1" applyBorder="1" applyAlignment="1">
      <alignment horizontal="left" vertical="center" wrapText="1"/>
    </xf>
    <xf numFmtId="0" fontId="28" fillId="3" borderId="2" xfId="0" applyFont="1" applyFill="1" applyBorder="1" applyAlignment="1">
      <alignment horizontal="left" vertical="center" wrapText="1"/>
    </xf>
    <xf numFmtId="0" fontId="28" fillId="3" borderId="3" xfId="0" applyFont="1" applyFill="1" applyBorder="1" applyAlignment="1">
      <alignment horizontal="left" vertical="center" wrapText="1"/>
    </xf>
    <xf numFmtId="0" fontId="28" fillId="3" borderId="4" xfId="0" applyFont="1" applyFill="1" applyBorder="1" applyAlignment="1">
      <alignment horizontal="left" vertical="center" wrapText="1"/>
    </xf>
    <xf numFmtId="0" fontId="28" fillId="0" borderId="2" xfId="0" applyFont="1" applyBorder="1" applyAlignment="1">
      <alignment horizontal="left" wrapText="1"/>
    </xf>
    <xf numFmtId="0" fontId="28" fillId="0" borderId="3" xfId="0" applyFont="1" applyBorder="1" applyAlignment="1">
      <alignment horizontal="left" wrapText="1"/>
    </xf>
    <xf numFmtId="0" fontId="28" fillId="0" borderId="4" xfId="0" applyFont="1" applyBorder="1" applyAlignment="1">
      <alignment horizontal="left" wrapText="1"/>
    </xf>
    <xf numFmtId="0" fontId="29" fillId="0" borderId="2" xfId="0" applyFont="1" applyBorder="1" applyAlignment="1">
      <alignment horizontal="center" wrapText="1"/>
    </xf>
    <xf numFmtId="0" fontId="29" fillId="0" borderId="3" xfId="0" applyFont="1" applyBorder="1" applyAlignment="1">
      <alignment horizontal="center" wrapText="1"/>
    </xf>
    <xf numFmtId="0" fontId="29" fillId="0" borderId="4" xfId="0" applyFont="1" applyBorder="1" applyAlignment="1">
      <alignment horizontal="center" wrapText="1"/>
    </xf>
    <xf numFmtId="0" fontId="3" fillId="0" borderId="10" xfId="0" applyFont="1" applyBorder="1" applyAlignment="1">
      <alignment horizontal="left" vertical="center"/>
    </xf>
    <xf numFmtId="0" fontId="3" fillId="0" borderId="5" xfId="0" applyFont="1" applyBorder="1" applyAlignment="1">
      <alignment horizontal="left" vertical="center"/>
    </xf>
    <xf numFmtId="0" fontId="20" fillId="8" borderId="1" xfId="0" applyFont="1" applyFill="1" applyBorder="1" applyAlignment="1">
      <alignment horizontal="left" vertical="center"/>
    </xf>
    <xf numFmtId="0" fontId="3" fillId="0" borderId="2" xfId="0" applyFont="1" applyBorder="1" applyAlignment="1">
      <alignment horizontal="left" vertical="center"/>
    </xf>
    <xf numFmtId="0" fontId="14" fillId="0" borderId="6" xfId="0" applyFont="1" applyBorder="1" applyAlignment="1">
      <alignment horizontal="center"/>
    </xf>
    <xf numFmtId="0" fontId="14" fillId="0" borderId="7" xfId="0" applyFont="1" applyBorder="1" applyAlignment="1">
      <alignment horizontal="center"/>
    </xf>
    <xf numFmtId="0" fontId="14" fillId="0" borderId="8" xfId="0" applyFont="1" applyBorder="1" applyAlignment="1">
      <alignment horizontal="center"/>
    </xf>
    <xf numFmtId="0" fontId="1" fillId="0" borderId="25" xfId="0" applyFont="1" applyBorder="1"/>
    <xf numFmtId="0" fontId="2" fillId="0" borderId="24" xfId="0" applyFont="1" applyBorder="1"/>
    <xf numFmtId="0" fontId="2" fillId="0" borderId="4" xfId="0" applyFont="1" applyBorder="1"/>
    <xf numFmtId="0" fontId="2" fillId="0" borderId="4" xfId="0" applyFont="1" applyBorder="1" applyAlignment="1">
      <alignment wrapText="1"/>
    </xf>
    <xf numFmtId="0" fontId="34" fillId="0" borderId="1" xfId="0" applyFont="1" applyBorder="1" applyAlignment="1">
      <alignment horizontal="left" vertical="center" wrapText="1"/>
    </xf>
    <xf numFmtId="0" fontId="1" fillId="0" borderId="10" xfId="0" applyFont="1" applyBorder="1" applyAlignment="1">
      <alignment horizontal="center" wrapText="1"/>
    </xf>
    <xf numFmtId="0" fontId="1" fillId="0" borderId="37" xfId="0" applyFont="1" applyBorder="1" applyAlignment="1">
      <alignment horizontal="center" wrapText="1"/>
    </xf>
  </cellXfs>
  <cellStyles count="3">
    <cellStyle name="Гиперссылка" xfId="1" builtinId="8"/>
    <cellStyle name="Обычный" xfId="0" builtinId="0"/>
    <cellStyle name="Процентный" xfId="2" builtinId="5"/>
  </cellStyles>
  <dxfs count="0"/>
  <tableStyles count="0" defaultTableStyle="TableStyleMedium2" defaultPivotStyle="PivotStyleLight16"/>
  <colors>
    <mruColors>
      <color rgb="FFFFCCFF"/>
      <color rgb="FFCCCCFF"/>
      <color rgb="FFFF99CC"/>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Vproka2017@mai.ru"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2F8C1-C467-4FCD-A435-C51A7663CD67}">
  <dimension ref="A3:G85"/>
  <sheetViews>
    <sheetView tabSelected="1" topLeftCell="A14" workbookViewId="0">
      <selection activeCell="E79" sqref="E79"/>
    </sheetView>
  </sheetViews>
  <sheetFormatPr defaultRowHeight="13.8" outlineLevelRow="2" x14ac:dyDescent="0.25"/>
  <cols>
    <col min="1" max="1" width="5.77734375" style="1" customWidth="1"/>
    <col min="2" max="2" width="28.109375" style="1" customWidth="1"/>
    <col min="3" max="3" width="23.77734375" style="1" customWidth="1"/>
    <col min="4" max="4" width="21.88671875" style="1" customWidth="1"/>
    <col min="5" max="5" width="20.21875" style="1" customWidth="1"/>
    <col min="6" max="6" width="37.88671875" style="1" customWidth="1"/>
    <col min="7" max="16384" width="8.88671875" style="1"/>
  </cols>
  <sheetData>
    <row r="3" spans="1:6" ht="14.4" hidden="1" outlineLevel="1" thickBot="1" x14ac:dyDescent="0.3">
      <c r="A3" s="313" t="s">
        <v>17</v>
      </c>
      <c r="B3" s="334" t="s">
        <v>2312</v>
      </c>
      <c r="C3" s="329"/>
      <c r="D3" s="329"/>
      <c r="E3" s="329"/>
      <c r="F3" s="330"/>
    </row>
    <row r="4" spans="1:6" ht="40.200000000000003" hidden="1" customHeight="1" outlineLevel="1" x14ac:dyDescent="0.25">
      <c r="A4" s="314">
        <v>1</v>
      </c>
      <c r="B4" s="89" t="s">
        <v>2266</v>
      </c>
      <c r="C4" s="9" t="s">
        <v>2267</v>
      </c>
      <c r="D4" s="331" t="s">
        <v>2268</v>
      </c>
      <c r="E4" s="332"/>
      <c r="F4" s="333"/>
    </row>
    <row r="5" spans="1:6" hidden="1" outlineLevel="1" x14ac:dyDescent="0.25">
      <c r="A5" s="314">
        <v>2</v>
      </c>
      <c r="B5" s="75" t="s">
        <v>112</v>
      </c>
      <c r="C5" s="2" t="s">
        <v>2278</v>
      </c>
      <c r="D5" s="346" t="s">
        <v>2279</v>
      </c>
      <c r="E5" s="347"/>
      <c r="F5" s="348"/>
    </row>
    <row r="6" spans="1:6" hidden="1" outlineLevel="1" x14ac:dyDescent="0.25">
      <c r="A6" s="314">
        <v>3</v>
      </c>
      <c r="B6" s="75" t="s">
        <v>2231</v>
      </c>
      <c r="C6" s="2" t="s">
        <v>1115</v>
      </c>
      <c r="D6" s="37">
        <v>1</v>
      </c>
      <c r="E6" s="156">
        <v>5558700</v>
      </c>
      <c r="F6" s="315" t="s">
        <v>2280</v>
      </c>
    </row>
    <row r="7" spans="1:6" ht="55.2" hidden="1" outlineLevel="1" x14ac:dyDescent="0.25">
      <c r="A7" s="314">
        <v>4</v>
      </c>
      <c r="B7" s="75" t="s">
        <v>2310</v>
      </c>
      <c r="C7" s="312" t="s">
        <v>360</v>
      </c>
      <c r="D7" s="318">
        <v>2</v>
      </c>
      <c r="E7" s="37">
        <v>0.25</v>
      </c>
      <c r="F7" s="319" t="s">
        <v>2314</v>
      </c>
    </row>
    <row r="8" spans="1:6" ht="55.2" hidden="1" outlineLevel="1" x14ac:dyDescent="0.25">
      <c r="A8" s="314">
        <v>5</v>
      </c>
      <c r="B8" s="77" t="s">
        <v>2309</v>
      </c>
      <c r="C8" s="312" t="s">
        <v>2311</v>
      </c>
      <c r="D8" s="17" t="s">
        <v>1177</v>
      </c>
      <c r="E8" s="37">
        <v>0.27</v>
      </c>
      <c r="F8" s="5" t="s">
        <v>2315</v>
      </c>
    </row>
    <row r="9" spans="1:6" hidden="1" outlineLevel="1" x14ac:dyDescent="0.25">
      <c r="A9" s="314"/>
      <c r="B9" s="335" t="s">
        <v>2269</v>
      </c>
      <c r="C9" s="336"/>
      <c r="D9" s="336"/>
      <c r="E9" s="336"/>
      <c r="F9" s="337"/>
    </row>
    <row r="10" spans="1:6" ht="49.8" hidden="1" customHeight="1" outlineLevel="2" x14ac:dyDescent="0.25">
      <c r="A10" s="316">
        <v>1</v>
      </c>
      <c r="B10" s="75" t="s">
        <v>1244</v>
      </c>
      <c r="C10" s="5" t="s">
        <v>2273</v>
      </c>
      <c r="D10" s="340" t="s">
        <v>2272</v>
      </c>
      <c r="E10" s="341"/>
      <c r="F10" s="342"/>
    </row>
    <row r="11" spans="1:6" hidden="1" outlineLevel="1" collapsed="1" x14ac:dyDescent="0.25">
      <c r="A11" s="316">
        <v>2</v>
      </c>
      <c r="B11" s="75" t="s">
        <v>2270</v>
      </c>
      <c r="C11" s="306"/>
      <c r="D11" s="338" t="s">
        <v>2271</v>
      </c>
      <c r="E11" s="338"/>
      <c r="F11" s="339"/>
    </row>
    <row r="12" spans="1:6" hidden="1" outlineLevel="1" x14ac:dyDescent="0.25">
      <c r="A12" s="344" t="s">
        <v>2274</v>
      </c>
      <c r="B12" s="336"/>
      <c r="C12" s="336"/>
      <c r="D12" s="336"/>
      <c r="E12" s="336"/>
      <c r="F12" s="337"/>
    </row>
    <row r="13" spans="1:6" ht="55.2" hidden="1" outlineLevel="1" x14ac:dyDescent="0.25">
      <c r="A13" s="316">
        <v>1</v>
      </c>
      <c r="B13" s="75" t="s">
        <v>2275</v>
      </c>
      <c r="C13" s="2" t="s">
        <v>2276</v>
      </c>
      <c r="D13" s="345" t="s">
        <v>2277</v>
      </c>
      <c r="E13" s="345"/>
      <c r="F13" s="317" t="s">
        <v>2313</v>
      </c>
    </row>
    <row r="14" spans="1:6" collapsed="1" x14ac:dyDescent="0.25">
      <c r="A14" s="28"/>
      <c r="B14" s="28"/>
      <c r="C14" s="28"/>
      <c r="D14" s="58"/>
      <c r="E14" s="28"/>
      <c r="F14" s="28"/>
    </row>
    <row r="15" spans="1:6" x14ac:dyDescent="0.25">
      <c r="A15" s="28"/>
      <c r="B15" s="28"/>
      <c r="C15" s="28"/>
      <c r="D15" s="58"/>
      <c r="E15" s="28"/>
      <c r="F15" s="28"/>
    </row>
    <row r="16" spans="1:6" ht="14.4" hidden="1" outlineLevel="1" thickBot="1" x14ac:dyDescent="0.3">
      <c r="A16" s="350" t="s">
        <v>2316</v>
      </c>
      <c r="B16" s="351"/>
      <c r="C16" s="351"/>
      <c r="D16" s="351"/>
      <c r="E16" s="351"/>
      <c r="F16" s="352"/>
    </row>
    <row r="17" spans="1:6" ht="14.4" hidden="1" outlineLevel="2" thickBot="1" x14ac:dyDescent="0.3">
      <c r="A17" s="320"/>
      <c r="B17" s="349" t="s">
        <v>2301</v>
      </c>
      <c r="C17" s="349"/>
      <c r="D17" s="349"/>
      <c r="E17" s="349"/>
      <c r="F17" s="321"/>
    </row>
    <row r="18" spans="1:6" hidden="1" outlineLevel="2" x14ac:dyDescent="0.25"/>
    <row r="19" spans="1:6" hidden="1" outlineLevel="2" x14ac:dyDescent="0.25">
      <c r="A19" s="2">
        <v>1</v>
      </c>
      <c r="B19" s="2" t="s">
        <v>2281</v>
      </c>
      <c r="C19" s="2" t="s">
        <v>2282</v>
      </c>
      <c r="D19" s="2" t="s">
        <v>1746</v>
      </c>
      <c r="E19" s="2" t="s">
        <v>2299</v>
      </c>
    </row>
    <row r="20" spans="1:6" hidden="1" outlineLevel="2" x14ac:dyDescent="0.25">
      <c r="A20" s="2">
        <v>2</v>
      </c>
      <c r="B20" s="2" t="s">
        <v>2283</v>
      </c>
      <c r="C20" s="2" t="s">
        <v>2284</v>
      </c>
      <c r="D20" s="2" t="s">
        <v>1746</v>
      </c>
      <c r="E20" s="2" t="s">
        <v>2300</v>
      </c>
    </row>
    <row r="21" spans="1:6" hidden="1" outlineLevel="2" x14ac:dyDescent="0.25">
      <c r="A21" s="2">
        <v>3</v>
      </c>
      <c r="B21" s="2" t="s">
        <v>112</v>
      </c>
      <c r="C21" s="2" t="s">
        <v>2285</v>
      </c>
      <c r="D21" s="2" t="s">
        <v>1746</v>
      </c>
      <c r="E21" s="2" t="s">
        <v>2300</v>
      </c>
    </row>
    <row r="22" spans="1:6" hidden="1" outlineLevel="2" x14ac:dyDescent="0.25">
      <c r="A22" s="2">
        <v>4</v>
      </c>
      <c r="B22" s="2" t="s">
        <v>2259</v>
      </c>
      <c r="C22" s="2" t="s">
        <v>2287</v>
      </c>
      <c r="D22" s="2" t="s">
        <v>2286</v>
      </c>
      <c r="E22" s="2" t="s">
        <v>2300</v>
      </c>
    </row>
    <row r="23" spans="1:6" hidden="1" outlineLevel="2" x14ac:dyDescent="0.25">
      <c r="A23" s="2">
        <v>5</v>
      </c>
      <c r="B23" s="2" t="s">
        <v>2288</v>
      </c>
      <c r="C23" s="2" t="s">
        <v>2290</v>
      </c>
      <c r="D23" s="2" t="s">
        <v>2289</v>
      </c>
      <c r="E23" s="2" t="s">
        <v>2302</v>
      </c>
    </row>
    <row r="24" spans="1:6" hidden="1" outlineLevel="2" x14ac:dyDescent="0.25">
      <c r="A24" s="2">
        <v>6</v>
      </c>
      <c r="B24" s="2" t="s">
        <v>2303</v>
      </c>
      <c r="C24" s="2" t="s">
        <v>2307</v>
      </c>
      <c r="D24" s="2" t="s">
        <v>2289</v>
      </c>
      <c r="E24" s="2" t="s">
        <v>2308</v>
      </c>
    </row>
    <row r="25" spans="1:6" hidden="1" outlineLevel="2" x14ac:dyDescent="0.25">
      <c r="A25" s="2">
        <v>7</v>
      </c>
      <c r="B25" s="2" t="s">
        <v>2291</v>
      </c>
      <c r="C25" s="2" t="s">
        <v>2292</v>
      </c>
      <c r="D25" s="2" t="s">
        <v>2293</v>
      </c>
      <c r="E25" s="2" t="s">
        <v>2299</v>
      </c>
    </row>
    <row r="26" spans="1:6" hidden="1" outlineLevel="2" x14ac:dyDescent="0.25">
      <c r="A26" s="2">
        <v>8</v>
      </c>
      <c r="B26" s="2" t="s">
        <v>2281</v>
      </c>
      <c r="C26" s="2" t="s">
        <v>2294</v>
      </c>
      <c r="D26" s="2" t="s">
        <v>2293</v>
      </c>
      <c r="E26" s="2" t="s">
        <v>2299</v>
      </c>
    </row>
    <row r="27" spans="1:6" hidden="1" outlineLevel="2" x14ac:dyDescent="0.25">
      <c r="A27" s="2">
        <v>9</v>
      </c>
      <c r="B27" s="2" t="s">
        <v>2295</v>
      </c>
      <c r="C27" s="2" t="s">
        <v>2296</v>
      </c>
      <c r="D27" s="2" t="s">
        <v>2293</v>
      </c>
      <c r="E27" s="2" t="s">
        <v>2300</v>
      </c>
    </row>
    <row r="28" spans="1:6" hidden="1" outlineLevel="2" x14ac:dyDescent="0.25">
      <c r="A28" s="2">
        <v>10</v>
      </c>
      <c r="B28" s="2" t="s">
        <v>2306</v>
      </c>
      <c r="C28" s="2" t="s">
        <v>2298</v>
      </c>
      <c r="D28" s="2" t="s">
        <v>2293</v>
      </c>
      <c r="E28" s="2" t="s">
        <v>2300</v>
      </c>
    </row>
    <row r="29" spans="1:6" hidden="1" outlineLevel="2" x14ac:dyDescent="0.25">
      <c r="A29" s="2">
        <v>11</v>
      </c>
      <c r="B29" s="2" t="s">
        <v>2297</v>
      </c>
      <c r="C29" s="2" t="s">
        <v>2304</v>
      </c>
      <c r="D29" s="2" t="s">
        <v>2293</v>
      </c>
      <c r="E29" s="2" t="s">
        <v>2305</v>
      </c>
    </row>
    <row r="30" spans="1:6" hidden="1" outlineLevel="2" x14ac:dyDescent="0.25"/>
    <row r="31" spans="1:6" hidden="1" outlineLevel="1" collapsed="1" x14ac:dyDescent="0.25">
      <c r="A31" s="2">
        <v>1</v>
      </c>
      <c r="B31" s="2" t="s">
        <v>2069</v>
      </c>
      <c r="C31" s="2" t="s">
        <v>232</v>
      </c>
      <c r="D31" s="2">
        <v>2</v>
      </c>
      <c r="E31" s="37">
        <v>0.25</v>
      </c>
      <c r="F31" s="2" t="s">
        <v>2329</v>
      </c>
    </row>
    <row r="32" spans="1:6" hidden="1" outlineLevel="1" x14ac:dyDescent="0.25">
      <c r="A32" s="2">
        <v>2</v>
      </c>
      <c r="B32" s="2" t="s">
        <v>2069</v>
      </c>
      <c r="C32" s="2" t="s">
        <v>2323</v>
      </c>
      <c r="D32" s="2">
        <v>3</v>
      </c>
      <c r="E32" s="37">
        <v>0.25</v>
      </c>
      <c r="F32" s="2"/>
    </row>
    <row r="33" spans="1:6" hidden="1" outlineLevel="1" x14ac:dyDescent="0.25">
      <c r="A33" s="2">
        <v>3</v>
      </c>
      <c r="B33" s="2" t="s">
        <v>2317</v>
      </c>
      <c r="C33" s="2" t="s">
        <v>355</v>
      </c>
      <c r="D33" s="2">
        <v>3</v>
      </c>
      <c r="E33" s="37">
        <v>0.3</v>
      </c>
      <c r="F33" s="2" t="s">
        <v>2330</v>
      </c>
    </row>
    <row r="34" spans="1:6" hidden="1" outlineLevel="1" x14ac:dyDescent="0.25">
      <c r="A34" s="2">
        <v>4</v>
      </c>
      <c r="B34" s="2" t="s">
        <v>2318</v>
      </c>
      <c r="C34" s="2" t="s">
        <v>2320</v>
      </c>
      <c r="D34" s="160" t="s">
        <v>724</v>
      </c>
      <c r="E34" s="2"/>
      <c r="F34" s="2" t="s">
        <v>2321</v>
      </c>
    </row>
    <row r="35" spans="1:6" hidden="1" outlineLevel="1" x14ac:dyDescent="0.25">
      <c r="A35" s="2">
        <v>5</v>
      </c>
      <c r="B35" s="2" t="s">
        <v>2319</v>
      </c>
      <c r="C35" s="2" t="s">
        <v>393</v>
      </c>
      <c r="D35" s="2">
        <v>1</v>
      </c>
      <c r="E35" s="2"/>
      <c r="F35" s="2"/>
    </row>
    <row r="36" spans="1:6" hidden="1" outlineLevel="1" x14ac:dyDescent="0.25">
      <c r="A36" s="2">
        <v>6</v>
      </c>
      <c r="B36" s="2" t="s">
        <v>2331</v>
      </c>
      <c r="C36" s="2" t="s">
        <v>2322</v>
      </c>
      <c r="D36" s="160" t="s">
        <v>724</v>
      </c>
      <c r="E36" s="37">
        <v>0.27</v>
      </c>
      <c r="F36" s="2"/>
    </row>
    <row r="37" spans="1:6" hidden="1" outlineLevel="1" x14ac:dyDescent="0.25">
      <c r="A37" s="2">
        <v>7</v>
      </c>
      <c r="B37" s="2" t="s">
        <v>2231</v>
      </c>
      <c r="C37" s="2" t="s">
        <v>2324</v>
      </c>
      <c r="D37" s="2">
        <v>3</v>
      </c>
      <c r="E37" s="2"/>
      <c r="F37" s="2" t="s">
        <v>2325</v>
      </c>
    </row>
    <row r="38" spans="1:6" hidden="1" outlineLevel="1" x14ac:dyDescent="0.25">
      <c r="A38" s="1">
        <v>8</v>
      </c>
      <c r="B38" s="2" t="s">
        <v>2326</v>
      </c>
      <c r="C38" s="2" t="s">
        <v>2327</v>
      </c>
      <c r="D38" s="2">
        <v>3</v>
      </c>
      <c r="E38" s="2"/>
      <c r="F38" s="2"/>
    </row>
    <row r="39" spans="1:6" hidden="1" outlineLevel="1" x14ac:dyDescent="0.25">
      <c r="A39" s="1">
        <v>9</v>
      </c>
      <c r="B39" s="22" t="s">
        <v>2332</v>
      </c>
      <c r="C39" s="22" t="s">
        <v>1003</v>
      </c>
      <c r="D39" s="22">
        <v>1</v>
      </c>
      <c r="E39" s="22"/>
      <c r="F39" s="22" t="s">
        <v>2328</v>
      </c>
    </row>
    <row r="40" spans="1:6" hidden="1" outlineLevel="1" x14ac:dyDescent="0.25">
      <c r="A40" s="2">
        <v>10</v>
      </c>
      <c r="B40" s="2" t="s">
        <v>2337</v>
      </c>
      <c r="C40" s="2" t="s">
        <v>954</v>
      </c>
      <c r="D40" s="2">
        <v>1</v>
      </c>
      <c r="E40" s="37">
        <v>0.3</v>
      </c>
      <c r="F40" s="2" t="s">
        <v>2338</v>
      </c>
    </row>
    <row r="41" spans="1:6" hidden="1" outlineLevel="1" x14ac:dyDescent="0.25"/>
    <row r="42" spans="1:6" ht="55.2" hidden="1" outlineLevel="1" x14ac:dyDescent="0.25">
      <c r="B42" s="2" t="s">
        <v>2333</v>
      </c>
      <c r="C42" s="2" t="s">
        <v>2334</v>
      </c>
      <c r="D42" s="343" t="s">
        <v>2335</v>
      </c>
      <c r="E42" s="343"/>
      <c r="F42" s="5" t="s">
        <v>2336</v>
      </c>
    </row>
    <row r="43" spans="1:6" collapsed="1" x14ac:dyDescent="0.25"/>
    <row r="45" spans="1:6" hidden="1" outlineLevel="1" x14ac:dyDescent="0.25">
      <c r="B45" s="325" t="s">
        <v>2339</v>
      </c>
      <c r="C45" s="326"/>
      <c r="D45" s="326"/>
      <c r="E45" s="326"/>
      <c r="F45" s="327"/>
    </row>
    <row r="46" spans="1:6" hidden="1" outlineLevel="1" x14ac:dyDescent="0.25">
      <c r="B46" s="2" t="s">
        <v>2152</v>
      </c>
      <c r="C46" s="2" t="s">
        <v>2340</v>
      </c>
      <c r="D46" s="322">
        <v>1</v>
      </c>
      <c r="E46" s="115">
        <v>0.27500000000000002</v>
      </c>
      <c r="F46" s="2" t="s">
        <v>2367</v>
      </c>
    </row>
    <row r="47" spans="1:6" hidden="1" outlineLevel="1" x14ac:dyDescent="0.25">
      <c r="B47" s="2" t="s">
        <v>1753</v>
      </c>
      <c r="C47" s="2" t="s">
        <v>635</v>
      </c>
      <c r="D47" s="2">
        <v>1</v>
      </c>
      <c r="E47" s="115">
        <v>0.27500000000000002</v>
      </c>
      <c r="F47" s="2"/>
    </row>
    <row r="48" spans="1:6" hidden="1" outlineLevel="1" x14ac:dyDescent="0.25">
      <c r="B48" s="2" t="s">
        <v>112</v>
      </c>
      <c r="C48" s="2" t="s">
        <v>2363</v>
      </c>
      <c r="D48" s="160" t="s">
        <v>2366</v>
      </c>
      <c r="E48" s="2"/>
      <c r="F48" s="2"/>
    </row>
    <row r="49" spans="2:7" hidden="1" outlineLevel="1" x14ac:dyDescent="0.25">
      <c r="B49" s="2" t="s">
        <v>112</v>
      </c>
      <c r="C49" s="2" t="s">
        <v>360</v>
      </c>
      <c r="D49" s="2">
        <v>1</v>
      </c>
      <c r="E49" s="2">
        <v>27.5</v>
      </c>
      <c r="F49" s="2"/>
    </row>
    <row r="50" spans="2:7" hidden="1" outlineLevel="1" x14ac:dyDescent="0.25">
      <c r="B50" s="2" t="s">
        <v>2231</v>
      </c>
      <c r="C50" s="2" t="s">
        <v>2364</v>
      </c>
      <c r="D50" s="2" t="s">
        <v>1138</v>
      </c>
      <c r="E50" s="37">
        <v>0.3</v>
      </c>
      <c r="F50" s="2" t="s">
        <v>2365</v>
      </c>
    </row>
    <row r="51" spans="2:7" hidden="1" outlineLevel="1" x14ac:dyDescent="0.25">
      <c r="B51" s="2" t="s">
        <v>2368</v>
      </c>
      <c r="C51" s="2" t="s">
        <v>2371</v>
      </c>
      <c r="D51" s="2" t="s">
        <v>31</v>
      </c>
      <c r="E51" s="2" t="s">
        <v>31</v>
      </c>
      <c r="F51" s="2"/>
    </row>
    <row r="52" spans="2:7" hidden="1" outlineLevel="1" x14ac:dyDescent="0.25">
      <c r="B52" s="2" t="s">
        <v>2370</v>
      </c>
      <c r="C52" s="2" t="s">
        <v>2369</v>
      </c>
      <c r="D52" s="2" t="s">
        <v>2372</v>
      </c>
      <c r="E52" s="37">
        <v>0.3</v>
      </c>
      <c r="F52" s="2" t="s">
        <v>2373</v>
      </c>
    </row>
    <row r="53" spans="2:7" hidden="1" outlineLevel="1" x14ac:dyDescent="0.25">
      <c r="B53" s="2" t="s">
        <v>2374</v>
      </c>
      <c r="C53" s="2" t="s">
        <v>2146</v>
      </c>
      <c r="D53" s="2">
        <v>2</v>
      </c>
      <c r="E53" s="37">
        <v>0.3</v>
      </c>
      <c r="F53" s="2" t="s">
        <v>2375</v>
      </c>
    </row>
    <row r="54" spans="2:7" hidden="1" outlineLevel="1" x14ac:dyDescent="0.25">
      <c r="B54" s="2" t="s">
        <v>2378</v>
      </c>
      <c r="C54" s="2" t="s">
        <v>2146</v>
      </c>
      <c r="D54" s="2">
        <v>1</v>
      </c>
      <c r="E54" s="115">
        <v>0.27500000000000002</v>
      </c>
      <c r="F54" s="2" t="s">
        <v>2379</v>
      </c>
    </row>
    <row r="55" spans="2:7" hidden="1" outlineLevel="1" x14ac:dyDescent="0.25">
      <c r="B55" s="2" t="s">
        <v>2380</v>
      </c>
      <c r="C55" s="2"/>
      <c r="D55" s="2" t="s">
        <v>2381</v>
      </c>
      <c r="E55" s="115"/>
      <c r="F55" s="2" t="s">
        <v>2382</v>
      </c>
      <c r="G55" s="1" t="s">
        <v>2384</v>
      </c>
    </row>
    <row r="56" spans="2:7" hidden="1" outlineLevel="1" x14ac:dyDescent="0.25"/>
    <row r="57" spans="2:7" ht="14.4" hidden="1" outlineLevel="1" thickBot="1" x14ac:dyDescent="0.3"/>
    <row r="58" spans="2:7" ht="14.4" hidden="1" outlineLevel="1" thickBot="1" x14ac:dyDescent="0.3">
      <c r="B58" s="328" t="s">
        <v>2362</v>
      </c>
      <c r="C58" s="329"/>
      <c r="D58" s="329"/>
      <c r="E58" s="329"/>
      <c r="F58" s="330"/>
    </row>
    <row r="59" spans="2:7" hidden="1" outlineLevel="1" x14ac:dyDescent="0.25">
      <c r="B59" s="9" t="s">
        <v>2341</v>
      </c>
      <c r="C59" s="9" t="s">
        <v>2342</v>
      </c>
      <c r="D59" s="9"/>
      <c r="E59" s="9"/>
      <c r="F59" s="9" t="s">
        <v>2377</v>
      </c>
    </row>
    <row r="60" spans="2:7" hidden="1" outlineLevel="1" x14ac:dyDescent="0.25">
      <c r="B60" s="2" t="s">
        <v>2140</v>
      </c>
      <c r="C60" s="2" t="s">
        <v>2343</v>
      </c>
      <c r="D60" s="2"/>
      <c r="E60" s="2"/>
      <c r="F60" s="2"/>
    </row>
    <row r="61" spans="2:7" hidden="1" outlineLevel="1" x14ac:dyDescent="0.25">
      <c r="B61" s="2" t="s">
        <v>2344</v>
      </c>
      <c r="C61" s="2" t="s">
        <v>2345</v>
      </c>
      <c r="D61" s="2"/>
      <c r="E61" s="2"/>
      <c r="F61" s="2"/>
    </row>
    <row r="62" spans="2:7" hidden="1" outlineLevel="1" x14ac:dyDescent="0.25">
      <c r="B62" s="2" t="s">
        <v>2346</v>
      </c>
      <c r="C62" s="2" t="s">
        <v>2347</v>
      </c>
      <c r="D62" s="2"/>
      <c r="E62" s="2"/>
      <c r="F62" s="2"/>
    </row>
    <row r="63" spans="2:7" hidden="1" outlineLevel="1" x14ac:dyDescent="0.25">
      <c r="B63" s="2" t="s">
        <v>2348</v>
      </c>
      <c r="C63" s="2" t="s">
        <v>2349</v>
      </c>
      <c r="D63" s="2"/>
      <c r="E63" s="2"/>
      <c r="F63" s="2"/>
    </row>
    <row r="64" spans="2:7" hidden="1" outlineLevel="1" x14ac:dyDescent="0.25">
      <c r="B64" s="2" t="s">
        <v>2350</v>
      </c>
      <c r="C64" s="2" t="s">
        <v>2383</v>
      </c>
      <c r="D64" s="2"/>
      <c r="E64" s="2"/>
      <c r="F64" s="2"/>
    </row>
    <row r="65" spans="1:6" hidden="1" outlineLevel="1" x14ac:dyDescent="0.25">
      <c r="B65" s="2" t="s">
        <v>2351</v>
      </c>
      <c r="C65" s="2" t="s">
        <v>2352</v>
      </c>
      <c r="D65" s="2" t="s">
        <v>2353</v>
      </c>
      <c r="E65" s="2" t="s">
        <v>2360</v>
      </c>
      <c r="F65" s="2" t="s">
        <v>2385</v>
      </c>
    </row>
    <row r="66" spans="1:6" hidden="1" outlineLevel="1" x14ac:dyDescent="0.25">
      <c r="B66" s="2" t="s">
        <v>2354</v>
      </c>
      <c r="C66" s="2" t="s">
        <v>2387</v>
      </c>
      <c r="D66" s="2"/>
      <c r="E66" s="2"/>
      <c r="F66" s="2"/>
    </row>
    <row r="67" spans="1:6" hidden="1" outlineLevel="1" x14ac:dyDescent="0.25">
      <c r="B67" s="2" t="s">
        <v>2355</v>
      </c>
      <c r="C67" s="2" t="s">
        <v>2357</v>
      </c>
      <c r="D67" s="2" t="s">
        <v>2358</v>
      </c>
      <c r="E67" s="2"/>
      <c r="F67" s="2"/>
    </row>
    <row r="68" spans="1:6" hidden="1" outlineLevel="1" x14ac:dyDescent="0.25">
      <c r="B68" s="2" t="s">
        <v>2356</v>
      </c>
      <c r="C68" s="2" t="s">
        <v>2359</v>
      </c>
      <c r="D68" s="2" t="s">
        <v>2376</v>
      </c>
      <c r="E68" s="2"/>
      <c r="F68" s="2"/>
    </row>
    <row r="69" spans="1:6" hidden="1" outlineLevel="1" x14ac:dyDescent="0.25">
      <c r="B69" s="2" t="s">
        <v>2295</v>
      </c>
      <c r="C69" s="2" t="s">
        <v>2361</v>
      </c>
      <c r="D69" s="2" t="s">
        <v>2386</v>
      </c>
      <c r="E69" s="2"/>
      <c r="F69" s="2"/>
    </row>
    <row r="70" spans="1:6" collapsed="1" x14ac:dyDescent="0.25"/>
    <row r="72" spans="1:6" ht="14.4" thickBot="1" x14ac:dyDescent="0.3"/>
    <row r="73" spans="1:6" ht="14.4" thickBot="1" x14ac:dyDescent="0.3">
      <c r="A73" s="432"/>
      <c r="B73" s="334">
        <v>46084</v>
      </c>
      <c r="C73" s="329"/>
      <c r="D73" s="329"/>
      <c r="E73" s="329"/>
      <c r="F73" s="330"/>
    </row>
    <row r="74" spans="1:6" x14ac:dyDescent="0.25">
      <c r="A74" s="9">
        <v>1</v>
      </c>
      <c r="B74" s="433" t="s">
        <v>2388</v>
      </c>
      <c r="C74" s="9" t="s">
        <v>2389</v>
      </c>
      <c r="D74" s="9" t="s">
        <v>2401</v>
      </c>
      <c r="E74" s="9"/>
      <c r="F74" s="9" t="s">
        <v>2390</v>
      </c>
    </row>
    <row r="75" spans="1:6" x14ac:dyDescent="0.25">
      <c r="A75" s="2">
        <v>2</v>
      </c>
      <c r="B75" s="434" t="s">
        <v>2341</v>
      </c>
      <c r="C75" s="2" t="s">
        <v>2391</v>
      </c>
      <c r="D75" s="160" t="s">
        <v>467</v>
      </c>
      <c r="E75" s="2" t="s">
        <v>2410</v>
      </c>
      <c r="F75" s="2"/>
    </row>
    <row r="76" spans="1:6" ht="27.6" x14ac:dyDescent="0.25">
      <c r="A76" s="2">
        <v>3</v>
      </c>
      <c r="B76" s="435" t="s">
        <v>2403</v>
      </c>
      <c r="C76" s="353" t="s">
        <v>2392</v>
      </c>
      <c r="D76" s="354"/>
      <c r="E76" s="355"/>
      <c r="F76" s="2" t="s">
        <v>2393</v>
      </c>
    </row>
    <row r="77" spans="1:6" x14ac:dyDescent="0.25">
      <c r="A77" s="2">
        <v>4</v>
      </c>
      <c r="B77" s="434" t="s">
        <v>2069</v>
      </c>
      <c r="C77" s="2" t="s">
        <v>2394</v>
      </c>
      <c r="D77" s="2">
        <v>4</v>
      </c>
      <c r="E77" s="2">
        <v>27.5</v>
      </c>
      <c r="F77" s="2" t="s">
        <v>1215</v>
      </c>
    </row>
    <row r="78" spans="1:6" x14ac:dyDescent="0.25">
      <c r="A78" s="2">
        <v>5</v>
      </c>
      <c r="B78" s="434" t="s">
        <v>2395</v>
      </c>
      <c r="C78" s="2" t="s">
        <v>2371</v>
      </c>
      <c r="D78" s="160" t="s">
        <v>152</v>
      </c>
      <c r="E78" s="2"/>
      <c r="F78" s="2" t="s">
        <v>2399</v>
      </c>
    </row>
    <row r="79" spans="1:6" x14ac:dyDescent="0.25">
      <c r="A79" s="2">
        <v>6</v>
      </c>
      <c r="B79" s="434" t="s">
        <v>2396</v>
      </c>
      <c r="C79" s="2" t="s">
        <v>2397</v>
      </c>
      <c r="D79" s="2">
        <v>3</v>
      </c>
      <c r="E79" s="160" t="s">
        <v>152</v>
      </c>
      <c r="F79" s="2" t="s">
        <v>2398</v>
      </c>
    </row>
    <row r="80" spans="1:6" ht="31.2" x14ac:dyDescent="0.25">
      <c r="A80" s="2">
        <v>7</v>
      </c>
      <c r="B80" s="436" t="s">
        <v>2400</v>
      </c>
      <c r="C80" s="2" t="s">
        <v>1362</v>
      </c>
      <c r="D80" s="2">
        <v>2</v>
      </c>
      <c r="E80" s="2"/>
      <c r="F80" s="2" t="s">
        <v>2402</v>
      </c>
    </row>
    <row r="81" spans="1:6" x14ac:dyDescent="0.25">
      <c r="A81" s="2">
        <v>8</v>
      </c>
      <c r="B81" s="75" t="s">
        <v>2404</v>
      </c>
      <c r="C81" s="2" t="s">
        <v>2324</v>
      </c>
      <c r="D81" s="2">
        <v>1</v>
      </c>
      <c r="E81" s="37">
        <v>0.3</v>
      </c>
      <c r="F81" s="2" t="s">
        <v>2405</v>
      </c>
    </row>
    <row r="82" spans="1:6" x14ac:dyDescent="0.25">
      <c r="A82" s="1">
        <v>9</v>
      </c>
      <c r="B82" s="75" t="s">
        <v>342</v>
      </c>
      <c r="C82" s="2" t="s">
        <v>1357</v>
      </c>
      <c r="D82" s="2">
        <v>1</v>
      </c>
      <c r="E82" s="37">
        <v>0.3</v>
      </c>
      <c r="F82" s="2" t="s">
        <v>2406</v>
      </c>
    </row>
    <row r="83" spans="1:6" x14ac:dyDescent="0.25">
      <c r="A83" s="1">
        <v>10</v>
      </c>
      <c r="B83" s="75" t="s">
        <v>2407</v>
      </c>
      <c r="C83" s="2" t="s">
        <v>393</v>
      </c>
      <c r="D83" s="2">
        <v>2</v>
      </c>
      <c r="E83" s="37">
        <v>0.25</v>
      </c>
      <c r="F83" s="437" t="s">
        <v>2408</v>
      </c>
    </row>
    <row r="84" spans="1:6" x14ac:dyDescent="0.25">
      <c r="B84" s="22"/>
      <c r="C84" s="22" t="s">
        <v>739</v>
      </c>
      <c r="D84" s="22">
        <v>3</v>
      </c>
      <c r="E84" s="158">
        <v>0.25</v>
      </c>
      <c r="F84" s="438"/>
    </row>
    <row r="85" spans="1:6" x14ac:dyDescent="0.25">
      <c r="A85" s="2">
        <v>11</v>
      </c>
      <c r="B85" s="2" t="s">
        <v>962</v>
      </c>
      <c r="C85" s="2" t="s">
        <v>773</v>
      </c>
      <c r="D85" s="2">
        <v>3</v>
      </c>
      <c r="E85" s="37">
        <v>0.3</v>
      </c>
      <c r="F85" s="2" t="s">
        <v>2409</v>
      </c>
    </row>
  </sheetData>
  <mergeCells count="16">
    <mergeCell ref="C76:E76"/>
    <mergeCell ref="F83:F84"/>
    <mergeCell ref="B73:F73"/>
    <mergeCell ref="B45:F45"/>
    <mergeCell ref="B58:F58"/>
    <mergeCell ref="D4:F4"/>
    <mergeCell ref="B3:F3"/>
    <mergeCell ref="B9:F9"/>
    <mergeCell ref="D11:F11"/>
    <mergeCell ref="D10:F10"/>
    <mergeCell ref="D42:E42"/>
    <mergeCell ref="A12:F12"/>
    <mergeCell ref="D13:E13"/>
    <mergeCell ref="D5:F5"/>
    <mergeCell ref="B17:E17"/>
    <mergeCell ref="A16:F16"/>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C4044-5E28-492E-936E-CBD1DBF3B396}">
  <dimension ref="A1:I695"/>
  <sheetViews>
    <sheetView topLeftCell="A674" workbookViewId="0">
      <selection activeCell="C698" sqref="C698"/>
    </sheetView>
  </sheetViews>
  <sheetFormatPr defaultColWidth="8.88671875" defaultRowHeight="13.8" outlineLevelRow="1" x14ac:dyDescent="0.25"/>
  <cols>
    <col min="1" max="1" width="5.44140625" style="1" customWidth="1"/>
    <col min="2" max="2" width="38.44140625" style="1" customWidth="1"/>
    <col min="3" max="3" width="20.6640625" style="1" customWidth="1"/>
    <col min="4" max="4" width="12.5546875" style="1" customWidth="1"/>
    <col min="5" max="5" width="11.88671875" style="1" customWidth="1"/>
    <col min="6" max="6" width="25.5546875" style="1" customWidth="1"/>
    <col min="7" max="7" width="18.33203125" style="1" customWidth="1"/>
    <col min="8" max="16384" width="8.88671875" style="1"/>
  </cols>
  <sheetData>
    <row r="1" spans="1:6" ht="14.4" thickBot="1" x14ac:dyDescent="0.3">
      <c r="A1" s="349">
        <v>2025</v>
      </c>
      <c r="B1" s="349"/>
      <c r="C1" s="349"/>
      <c r="D1" s="349"/>
      <c r="E1" s="349"/>
      <c r="F1" s="349"/>
    </row>
    <row r="2" spans="1:6" ht="14.4" hidden="1" outlineLevel="1" thickBot="1" x14ac:dyDescent="0.3">
      <c r="A2" s="368" t="s">
        <v>1223</v>
      </c>
      <c r="B2" s="323"/>
      <c r="C2" s="323"/>
      <c r="D2" s="323"/>
      <c r="E2" s="323"/>
      <c r="F2" s="324"/>
    </row>
    <row r="3" spans="1:6" ht="27.6" hidden="1" outlineLevel="1" x14ac:dyDescent="0.25">
      <c r="A3" s="9">
        <v>1</v>
      </c>
      <c r="B3" s="9" t="s">
        <v>1206</v>
      </c>
      <c r="C3" s="236" t="s">
        <v>1207</v>
      </c>
      <c r="D3" s="9">
        <v>2</v>
      </c>
      <c r="E3" s="40">
        <v>0.2</v>
      </c>
      <c r="F3" s="9"/>
    </row>
    <row r="4" spans="1:6" hidden="1" outlineLevel="1" x14ac:dyDescent="0.25">
      <c r="A4" s="2">
        <v>2</v>
      </c>
      <c r="B4" s="2" t="s">
        <v>1208</v>
      </c>
      <c r="C4" s="2" t="s">
        <v>1209</v>
      </c>
      <c r="D4" s="160" t="s">
        <v>1027</v>
      </c>
      <c r="E4" s="37">
        <v>0.2</v>
      </c>
      <c r="F4" s="2" t="s">
        <v>79</v>
      </c>
    </row>
    <row r="5" spans="1:6" hidden="1" outlineLevel="1" x14ac:dyDescent="0.25">
      <c r="A5" s="2">
        <v>3</v>
      </c>
      <c r="B5" s="2" t="s">
        <v>1210</v>
      </c>
      <c r="C5" s="2" t="s">
        <v>1211</v>
      </c>
      <c r="D5" s="160" t="s">
        <v>724</v>
      </c>
      <c r="E5" s="2" t="s">
        <v>483</v>
      </c>
      <c r="F5" s="2" t="s">
        <v>1212</v>
      </c>
    </row>
    <row r="6" spans="1:6" hidden="1" outlineLevel="1" x14ac:dyDescent="0.25">
      <c r="A6" s="2">
        <v>4</v>
      </c>
      <c r="B6" s="2" t="s">
        <v>1213</v>
      </c>
      <c r="C6" s="2" t="s">
        <v>1041</v>
      </c>
      <c r="D6" s="2">
        <v>2</v>
      </c>
      <c r="E6" s="2"/>
      <c r="F6" s="2"/>
    </row>
    <row r="7" spans="1:6" hidden="1" outlineLevel="1" x14ac:dyDescent="0.25">
      <c r="A7" s="2">
        <v>5</v>
      </c>
      <c r="B7" s="2" t="s">
        <v>112</v>
      </c>
      <c r="C7" s="2" t="s">
        <v>1214</v>
      </c>
      <c r="D7" s="160" t="s">
        <v>1027</v>
      </c>
      <c r="E7" s="37">
        <v>0.2</v>
      </c>
      <c r="F7" s="2" t="s">
        <v>1215</v>
      </c>
    </row>
    <row r="8" spans="1:6" hidden="1" outlineLevel="1" x14ac:dyDescent="0.25">
      <c r="A8" s="2">
        <v>6</v>
      </c>
      <c r="B8" s="2" t="s">
        <v>474</v>
      </c>
      <c r="C8" s="2" t="s">
        <v>1216</v>
      </c>
      <c r="D8" s="2">
        <v>3</v>
      </c>
      <c r="E8" s="2"/>
      <c r="F8" s="2"/>
    </row>
    <row r="9" spans="1:6" hidden="1" outlineLevel="1" x14ac:dyDescent="0.25">
      <c r="A9" s="2">
        <v>7</v>
      </c>
      <c r="B9" s="2" t="s">
        <v>406</v>
      </c>
      <c r="C9" s="2" t="s">
        <v>593</v>
      </c>
      <c r="D9" s="2">
        <v>2</v>
      </c>
      <c r="E9" s="2"/>
      <c r="F9" s="2"/>
    </row>
    <row r="10" spans="1:6" ht="43.95" hidden="1" customHeight="1" outlineLevel="1" x14ac:dyDescent="0.25">
      <c r="A10" s="2">
        <v>8</v>
      </c>
      <c r="B10" s="2" t="s">
        <v>1217</v>
      </c>
      <c r="C10" s="2" t="s">
        <v>1218</v>
      </c>
      <c r="D10" s="2">
        <v>1</v>
      </c>
      <c r="E10" s="366" t="s">
        <v>1219</v>
      </c>
      <c r="F10" s="367"/>
    </row>
    <row r="11" spans="1:6" hidden="1" outlineLevel="1" x14ac:dyDescent="0.25">
      <c r="A11" s="2">
        <v>9</v>
      </c>
      <c r="B11" s="2" t="s">
        <v>1220</v>
      </c>
      <c r="C11" s="2" t="s">
        <v>451</v>
      </c>
      <c r="D11" s="2">
        <v>2</v>
      </c>
      <c r="E11" s="37">
        <v>0.25</v>
      </c>
      <c r="F11" s="2"/>
    </row>
    <row r="12" spans="1:6" hidden="1" outlineLevel="1" x14ac:dyDescent="0.25">
      <c r="A12" s="2">
        <v>10</v>
      </c>
      <c r="B12" s="2" t="s">
        <v>1221</v>
      </c>
      <c r="C12" s="2" t="s">
        <v>1222</v>
      </c>
      <c r="D12" s="2">
        <v>1</v>
      </c>
      <c r="E12" s="2" t="s">
        <v>483</v>
      </c>
      <c r="F12" s="2"/>
    </row>
    <row r="13" spans="1:6" ht="14.4" hidden="1" outlineLevel="1" thickBot="1" x14ac:dyDescent="0.3"/>
    <row r="14" spans="1:6" ht="14.4" hidden="1" outlineLevel="1" thickBot="1" x14ac:dyDescent="0.3">
      <c r="A14" s="328" t="s">
        <v>1224</v>
      </c>
      <c r="B14" s="329"/>
      <c r="C14" s="329"/>
      <c r="D14" s="329"/>
      <c r="E14" s="329"/>
      <c r="F14" s="330"/>
    </row>
    <row r="15" spans="1:6" hidden="1" outlineLevel="1" x14ac:dyDescent="0.25">
      <c r="A15" s="9">
        <v>1</v>
      </c>
      <c r="B15" s="9" t="s">
        <v>406</v>
      </c>
      <c r="C15" s="9" t="s">
        <v>368</v>
      </c>
      <c r="D15" s="9" t="s">
        <v>724</v>
      </c>
      <c r="E15" s="40">
        <v>0.2</v>
      </c>
      <c r="F15" s="9"/>
    </row>
    <row r="16" spans="1:6" hidden="1" outlineLevel="1" x14ac:dyDescent="0.25">
      <c r="A16" s="2">
        <v>2</v>
      </c>
      <c r="B16" s="2" t="s">
        <v>1225</v>
      </c>
      <c r="C16" s="2" t="s">
        <v>368</v>
      </c>
      <c r="D16" s="2" t="s">
        <v>724</v>
      </c>
      <c r="E16" s="37">
        <v>0.2</v>
      </c>
      <c r="F16" s="2"/>
    </row>
    <row r="17" spans="1:6" hidden="1" outlineLevel="1" x14ac:dyDescent="0.25">
      <c r="A17" s="2">
        <v>3</v>
      </c>
      <c r="B17" s="2" t="s">
        <v>1226</v>
      </c>
      <c r="C17" s="2" t="s">
        <v>368</v>
      </c>
      <c r="D17" s="2" t="s">
        <v>724</v>
      </c>
      <c r="E17" s="37">
        <v>0.2</v>
      </c>
      <c r="F17" s="2"/>
    </row>
    <row r="18" spans="1:6" hidden="1" outlineLevel="1" x14ac:dyDescent="0.25">
      <c r="A18" s="2">
        <v>4</v>
      </c>
      <c r="B18" s="2" t="s">
        <v>1227</v>
      </c>
      <c r="C18" s="2" t="s">
        <v>368</v>
      </c>
      <c r="D18" s="2" t="s">
        <v>724</v>
      </c>
      <c r="E18" s="37">
        <v>0.2</v>
      </c>
      <c r="F18" s="2"/>
    </row>
    <row r="19" spans="1:6" hidden="1" outlineLevel="1" x14ac:dyDescent="0.25">
      <c r="A19" s="2">
        <v>5</v>
      </c>
      <c r="B19" s="2" t="s">
        <v>1228</v>
      </c>
      <c r="C19" s="2" t="s">
        <v>1230</v>
      </c>
      <c r="D19" s="2">
        <v>2</v>
      </c>
      <c r="E19" s="2"/>
      <c r="F19" s="2"/>
    </row>
    <row r="20" spans="1:6" hidden="1" outlineLevel="1" x14ac:dyDescent="0.25">
      <c r="A20" s="2">
        <v>6</v>
      </c>
      <c r="B20" s="2" t="s">
        <v>1229</v>
      </c>
      <c r="C20" s="2" t="s">
        <v>783</v>
      </c>
      <c r="D20" s="2">
        <v>2</v>
      </c>
      <c r="E20" s="2"/>
      <c r="F20" s="2"/>
    </row>
    <row r="21" spans="1:6" hidden="1" outlineLevel="1" x14ac:dyDescent="0.25">
      <c r="A21" s="2">
        <v>7</v>
      </c>
      <c r="B21" s="2" t="s">
        <v>100</v>
      </c>
      <c r="C21" s="2" t="s">
        <v>821</v>
      </c>
      <c r="D21" s="2">
        <v>4</v>
      </c>
      <c r="E21" s="37">
        <v>0.2</v>
      </c>
      <c r="F21" s="2"/>
    </row>
    <row r="22" spans="1:6" hidden="1" outlineLevel="1" x14ac:dyDescent="0.25">
      <c r="A22" s="2">
        <v>8</v>
      </c>
      <c r="B22" s="2" t="s">
        <v>100</v>
      </c>
      <c r="C22" s="2" t="s">
        <v>854</v>
      </c>
      <c r="D22" s="2">
        <v>4</v>
      </c>
      <c r="E22" s="37">
        <v>0.2</v>
      </c>
      <c r="F22" s="2"/>
    </row>
    <row r="23" spans="1:6" hidden="1" outlineLevel="1" x14ac:dyDescent="0.25">
      <c r="A23" s="28"/>
      <c r="B23" s="28"/>
      <c r="C23" s="28"/>
      <c r="D23" s="28"/>
      <c r="E23" s="58"/>
      <c r="F23" s="28"/>
    </row>
    <row r="24" spans="1:6" hidden="1" outlineLevel="1" x14ac:dyDescent="0.25">
      <c r="B24" s="38" t="s">
        <v>1231</v>
      </c>
      <c r="C24" s="238">
        <v>1</v>
      </c>
      <c r="D24" s="38" t="s">
        <v>1232</v>
      </c>
      <c r="E24" s="38"/>
      <c r="F24" s="237">
        <v>1700000</v>
      </c>
    </row>
    <row r="25" spans="1:6" ht="14.4" hidden="1" outlineLevel="1" thickBot="1" x14ac:dyDescent="0.3"/>
    <row r="26" spans="1:6" hidden="1" outlineLevel="1" x14ac:dyDescent="0.25">
      <c r="A26" s="325" t="s">
        <v>1233</v>
      </c>
      <c r="B26" s="326"/>
      <c r="C26" s="326"/>
      <c r="D26" s="326"/>
      <c r="E26" s="326"/>
      <c r="F26" s="327"/>
    </row>
    <row r="27" spans="1:6" hidden="1" outlineLevel="1" x14ac:dyDescent="0.25">
      <c r="A27" s="2">
        <v>1</v>
      </c>
      <c r="B27" s="2" t="s">
        <v>1234</v>
      </c>
      <c r="C27" s="2" t="s">
        <v>393</v>
      </c>
      <c r="D27" s="2">
        <v>1</v>
      </c>
      <c r="E27" s="37">
        <v>0.2</v>
      </c>
      <c r="F27" s="2" t="s">
        <v>1235</v>
      </c>
    </row>
    <row r="28" spans="1:6" ht="27.6" hidden="1" outlineLevel="1" x14ac:dyDescent="0.25">
      <c r="A28" s="2">
        <v>2</v>
      </c>
      <c r="B28" s="2" t="s">
        <v>1236</v>
      </c>
      <c r="C28" s="5" t="s">
        <v>1237</v>
      </c>
      <c r="D28" s="2">
        <v>1</v>
      </c>
      <c r="E28" s="160" t="s">
        <v>1238</v>
      </c>
      <c r="F28" s="2"/>
    </row>
    <row r="29" spans="1:6" hidden="1" outlineLevel="1" x14ac:dyDescent="0.25">
      <c r="A29" s="2">
        <v>3</v>
      </c>
      <c r="B29" s="2" t="s">
        <v>1239</v>
      </c>
      <c r="C29" s="2" t="s">
        <v>1240</v>
      </c>
      <c r="D29" s="2" t="s">
        <v>724</v>
      </c>
      <c r="E29" s="37">
        <v>0.2</v>
      </c>
      <c r="F29" s="2" t="s">
        <v>1241</v>
      </c>
    </row>
    <row r="30" spans="1:6" ht="41.4" hidden="1" outlineLevel="1" x14ac:dyDescent="0.25">
      <c r="A30" s="2">
        <v>4</v>
      </c>
      <c r="B30" s="2" t="s">
        <v>774</v>
      </c>
      <c r="C30" s="5" t="s">
        <v>1242</v>
      </c>
      <c r="D30" s="2" t="s">
        <v>1027</v>
      </c>
      <c r="E30" s="160" t="s">
        <v>1243</v>
      </c>
      <c r="F30" s="2"/>
    </row>
    <row r="31" spans="1:6" ht="27.6" hidden="1" outlineLevel="1" x14ac:dyDescent="0.25">
      <c r="A31" s="2">
        <v>5</v>
      </c>
      <c r="B31" s="2" t="s">
        <v>1244</v>
      </c>
      <c r="C31" s="5" t="s">
        <v>1245</v>
      </c>
      <c r="D31" s="2">
        <v>1</v>
      </c>
      <c r="E31" s="160" t="s">
        <v>1246</v>
      </c>
      <c r="F31" s="2"/>
    </row>
    <row r="32" spans="1:6" hidden="1" outlineLevel="1" x14ac:dyDescent="0.25">
      <c r="A32" s="2">
        <v>6</v>
      </c>
      <c r="B32" s="2" t="s">
        <v>1249</v>
      </c>
      <c r="C32" s="2" t="s">
        <v>1247</v>
      </c>
      <c r="D32" s="2" t="s">
        <v>724</v>
      </c>
      <c r="E32" s="37">
        <v>0.2</v>
      </c>
      <c r="F32" s="2" t="s">
        <v>1248</v>
      </c>
    </row>
    <row r="33" spans="1:6" hidden="1" outlineLevel="1" x14ac:dyDescent="0.25">
      <c r="A33" s="2">
        <v>7</v>
      </c>
      <c r="B33" s="2" t="s">
        <v>1250</v>
      </c>
      <c r="C33" s="2" t="s">
        <v>1251</v>
      </c>
      <c r="D33" s="2" t="s">
        <v>724</v>
      </c>
      <c r="E33" s="37">
        <v>0.2</v>
      </c>
      <c r="F33" s="2"/>
    </row>
    <row r="34" spans="1:6" hidden="1" outlineLevel="1" x14ac:dyDescent="0.25">
      <c r="A34" s="2">
        <v>8</v>
      </c>
      <c r="B34" s="2" t="s">
        <v>1252</v>
      </c>
      <c r="C34" s="2" t="s">
        <v>1253</v>
      </c>
      <c r="D34" s="2">
        <v>3</v>
      </c>
      <c r="E34" s="37">
        <v>0.2</v>
      </c>
      <c r="F34" s="2"/>
    </row>
    <row r="35" spans="1:6" hidden="1" outlineLevel="1" x14ac:dyDescent="0.25">
      <c r="A35" s="2">
        <v>9</v>
      </c>
      <c r="B35" s="2" t="s">
        <v>1254</v>
      </c>
      <c r="C35" s="2" t="s">
        <v>1255</v>
      </c>
      <c r="D35" s="2" t="s">
        <v>724</v>
      </c>
      <c r="E35" s="37">
        <v>0.2</v>
      </c>
      <c r="F35" s="2"/>
    </row>
    <row r="36" spans="1:6" hidden="1" outlineLevel="1" x14ac:dyDescent="0.25">
      <c r="A36" s="2">
        <v>10</v>
      </c>
      <c r="B36" s="2" t="s">
        <v>1256</v>
      </c>
      <c r="C36" s="2" t="s">
        <v>1257</v>
      </c>
      <c r="D36" s="2">
        <v>1</v>
      </c>
      <c r="E36" s="37">
        <v>0.2</v>
      </c>
      <c r="F36" s="2"/>
    </row>
    <row r="37" spans="1:6" hidden="1" outlineLevel="1" x14ac:dyDescent="0.25">
      <c r="A37" s="2">
        <v>11</v>
      </c>
      <c r="B37" s="2" t="s">
        <v>1258</v>
      </c>
      <c r="C37" s="2" t="s">
        <v>1259</v>
      </c>
      <c r="D37" s="2">
        <v>1</v>
      </c>
      <c r="E37" s="37">
        <v>0.2</v>
      </c>
      <c r="F37" s="2"/>
    </row>
    <row r="38" spans="1:6" hidden="1" outlineLevel="1" x14ac:dyDescent="0.25">
      <c r="A38" s="2">
        <v>12</v>
      </c>
      <c r="B38" s="2" t="s">
        <v>1150</v>
      </c>
      <c r="C38" s="2" t="s">
        <v>1260</v>
      </c>
      <c r="D38" s="2">
        <v>1</v>
      </c>
      <c r="E38" s="2"/>
      <c r="F38" s="2"/>
    </row>
    <row r="39" spans="1:6" hidden="1" outlineLevel="1" x14ac:dyDescent="0.25">
      <c r="A39" s="2">
        <v>13</v>
      </c>
      <c r="B39" s="2" t="s">
        <v>518</v>
      </c>
      <c r="C39" s="2" t="s">
        <v>1261</v>
      </c>
      <c r="D39" s="2" t="s">
        <v>724</v>
      </c>
      <c r="E39" s="37">
        <v>0.2</v>
      </c>
      <c r="F39" s="2" t="s">
        <v>1262</v>
      </c>
    </row>
    <row r="40" spans="1:6" hidden="1" outlineLevel="1" x14ac:dyDescent="0.25"/>
    <row r="41" spans="1:6" hidden="1" outlineLevel="1" x14ac:dyDescent="0.25">
      <c r="B41" s="1" t="s">
        <v>843</v>
      </c>
      <c r="C41" s="1" t="s">
        <v>1263</v>
      </c>
      <c r="D41" s="1">
        <v>1790000</v>
      </c>
      <c r="E41" s="1" t="s">
        <v>1264</v>
      </c>
    </row>
    <row r="42" spans="1:6" ht="14.4" hidden="1" outlineLevel="1" thickBot="1" x14ac:dyDescent="0.3"/>
    <row r="43" spans="1:6" hidden="1" outlineLevel="1" x14ac:dyDescent="0.25">
      <c r="A43" s="325" t="s">
        <v>1265</v>
      </c>
      <c r="B43" s="326"/>
      <c r="C43" s="326"/>
      <c r="D43" s="326"/>
      <c r="E43" s="326"/>
      <c r="F43" s="327"/>
    </row>
    <row r="44" spans="1:6" hidden="1" outlineLevel="1" x14ac:dyDescent="0.25">
      <c r="A44" s="2">
        <v>1</v>
      </c>
      <c r="B44" s="2" t="s">
        <v>1266</v>
      </c>
      <c r="C44" s="2" t="s">
        <v>491</v>
      </c>
      <c r="D44" s="2">
        <v>3</v>
      </c>
      <c r="E44" s="37">
        <v>0.2</v>
      </c>
      <c r="F44" s="2"/>
    </row>
    <row r="45" spans="1:6" hidden="1" outlineLevel="1" x14ac:dyDescent="0.25">
      <c r="A45" s="2">
        <v>2</v>
      </c>
      <c r="B45" s="2" t="s">
        <v>1280</v>
      </c>
      <c r="C45" s="2" t="s">
        <v>923</v>
      </c>
      <c r="D45" s="2">
        <v>2</v>
      </c>
      <c r="E45" s="37">
        <v>0.2</v>
      </c>
      <c r="F45" s="2"/>
    </row>
    <row r="46" spans="1:6" hidden="1" outlineLevel="1" x14ac:dyDescent="0.25">
      <c r="A46" s="2"/>
      <c r="B46" s="2"/>
      <c r="C46" s="2" t="s">
        <v>1267</v>
      </c>
      <c r="D46" s="2">
        <v>1</v>
      </c>
      <c r="E46" s="2"/>
      <c r="F46" s="2"/>
    </row>
    <row r="47" spans="1:6" hidden="1" outlineLevel="1" x14ac:dyDescent="0.25">
      <c r="A47" s="2">
        <v>3</v>
      </c>
      <c r="B47" s="2" t="s">
        <v>1269</v>
      </c>
      <c r="C47" s="2" t="s">
        <v>1268</v>
      </c>
      <c r="D47" s="239" t="s">
        <v>1270</v>
      </c>
      <c r="E47" s="2"/>
      <c r="F47" s="2"/>
    </row>
    <row r="48" spans="1:6" hidden="1" outlineLevel="1" x14ac:dyDescent="0.25">
      <c r="A48" s="2">
        <v>4</v>
      </c>
      <c r="B48" s="2" t="s">
        <v>1271</v>
      </c>
      <c r="C48" s="2" t="s">
        <v>1155</v>
      </c>
      <c r="D48" s="2">
        <v>1</v>
      </c>
      <c r="E48" s="37">
        <v>0.2</v>
      </c>
      <c r="F48" s="2"/>
    </row>
    <row r="49" spans="1:6" hidden="1" outlineLevel="1" x14ac:dyDescent="0.25">
      <c r="A49" s="2">
        <v>5</v>
      </c>
      <c r="B49" s="2" t="s">
        <v>1272</v>
      </c>
      <c r="C49" s="2" t="s">
        <v>1253</v>
      </c>
      <c r="D49" s="2" t="s">
        <v>597</v>
      </c>
      <c r="E49" s="37">
        <v>0.2</v>
      </c>
      <c r="F49" s="2"/>
    </row>
    <row r="50" spans="1:6" hidden="1" outlineLevel="1" x14ac:dyDescent="0.25">
      <c r="A50" s="2">
        <v>6</v>
      </c>
      <c r="B50" s="2" t="s">
        <v>1273</v>
      </c>
      <c r="C50" s="2" t="s">
        <v>1274</v>
      </c>
      <c r="D50" s="2"/>
      <c r="E50" s="2"/>
      <c r="F50" s="2"/>
    </row>
    <row r="51" spans="1:6" hidden="1" outlineLevel="1" x14ac:dyDescent="0.25">
      <c r="A51" s="2">
        <v>7</v>
      </c>
      <c r="B51" s="2" t="s">
        <v>1275</v>
      </c>
      <c r="C51" s="2" t="s">
        <v>1276</v>
      </c>
      <c r="D51" s="2">
        <v>1</v>
      </c>
      <c r="E51" s="37">
        <v>0.2</v>
      </c>
      <c r="F51" s="2"/>
    </row>
    <row r="52" spans="1:6" hidden="1" outlineLevel="1" x14ac:dyDescent="0.25">
      <c r="A52" s="2">
        <v>8</v>
      </c>
      <c r="B52" s="2" t="s">
        <v>1277</v>
      </c>
      <c r="C52" s="2" t="s">
        <v>1278</v>
      </c>
      <c r="D52" s="2">
        <v>1</v>
      </c>
      <c r="E52" s="37">
        <v>0.2</v>
      </c>
      <c r="F52" s="2"/>
    </row>
    <row r="53" spans="1:6" hidden="1" outlineLevel="1" x14ac:dyDescent="0.25">
      <c r="A53" s="2">
        <v>9</v>
      </c>
      <c r="B53" s="2" t="s">
        <v>474</v>
      </c>
      <c r="C53" s="2" t="s">
        <v>467</v>
      </c>
      <c r="D53" s="2">
        <v>2</v>
      </c>
      <c r="E53" s="37">
        <v>0.2</v>
      </c>
      <c r="F53" s="2"/>
    </row>
    <row r="54" spans="1:6" hidden="1" outlineLevel="1" x14ac:dyDescent="0.25">
      <c r="A54" s="2">
        <v>10</v>
      </c>
      <c r="B54" s="2" t="s">
        <v>1244</v>
      </c>
      <c r="C54" s="2" t="s">
        <v>1279</v>
      </c>
      <c r="D54" s="2">
        <v>2</v>
      </c>
      <c r="E54" s="37">
        <v>0.2</v>
      </c>
      <c r="F54" s="2"/>
    </row>
    <row r="55" spans="1:6" hidden="1" outlineLevel="1" x14ac:dyDescent="0.25">
      <c r="A55" s="2">
        <v>11</v>
      </c>
      <c r="B55" s="2" t="s">
        <v>112</v>
      </c>
      <c r="C55" s="2" t="s">
        <v>520</v>
      </c>
      <c r="D55" s="2">
        <v>2</v>
      </c>
      <c r="E55" s="37">
        <v>0.2</v>
      </c>
      <c r="F55" s="2"/>
    </row>
    <row r="56" spans="1:6" hidden="1" outlineLevel="1" x14ac:dyDescent="0.25"/>
    <row r="57" spans="1:6" ht="14.4" hidden="1" outlineLevel="1" thickBot="1" x14ac:dyDescent="0.3"/>
    <row r="58" spans="1:6" ht="14.4" hidden="1" outlineLevel="1" thickBot="1" x14ac:dyDescent="0.3">
      <c r="A58" s="328" t="s">
        <v>1282</v>
      </c>
      <c r="B58" s="329"/>
      <c r="C58" s="329"/>
      <c r="D58" s="329"/>
      <c r="E58" s="329"/>
      <c r="F58" s="330"/>
    </row>
    <row r="59" spans="1:6" hidden="1" outlineLevel="1" x14ac:dyDescent="0.25">
      <c r="A59" s="9">
        <v>1</v>
      </c>
      <c r="B59" s="9" t="s">
        <v>1112</v>
      </c>
      <c r="C59" s="9" t="s">
        <v>1283</v>
      </c>
      <c r="D59" s="9" t="s">
        <v>1284</v>
      </c>
      <c r="E59" s="40">
        <v>0.25</v>
      </c>
      <c r="F59" s="9"/>
    </row>
    <row r="60" spans="1:6" hidden="1" outlineLevel="1" x14ac:dyDescent="0.25">
      <c r="A60" s="2">
        <v>2</v>
      </c>
      <c r="B60" s="2" t="s">
        <v>1285</v>
      </c>
      <c r="C60" s="2" t="s">
        <v>1286</v>
      </c>
      <c r="D60" s="2" t="s">
        <v>943</v>
      </c>
      <c r="E60" s="37">
        <v>0.15</v>
      </c>
      <c r="F60" s="2"/>
    </row>
    <row r="61" spans="1:6" hidden="1" outlineLevel="1" x14ac:dyDescent="0.25">
      <c r="A61" s="2">
        <v>3</v>
      </c>
      <c r="B61" s="2" t="s">
        <v>1287</v>
      </c>
      <c r="C61" s="2" t="s">
        <v>1288</v>
      </c>
      <c r="D61" s="2" t="s">
        <v>1289</v>
      </c>
      <c r="E61" s="37">
        <v>0.2</v>
      </c>
      <c r="F61" s="2"/>
    </row>
    <row r="62" spans="1:6" hidden="1" outlineLevel="1" x14ac:dyDescent="0.25">
      <c r="A62" s="2">
        <v>4</v>
      </c>
      <c r="B62" s="2" t="s">
        <v>1290</v>
      </c>
      <c r="C62" s="2" t="s">
        <v>1288</v>
      </c>
      <c r="D62" s="2">
        <v>1</v>
      </c>
      <c r="E62" s="37">
        <v>0.2</v>
      </c>
      <c r="F62" s="2"/>
    </row>
    <row r="63" spans="1:6" hidden="1" outlineLevel="1" x14ac:dyDescent="0.25">
      <c r="A63" s="2">
        <v>5</v>
      </c>
      <c r="B63" s="2" t="s">
        <v>1291</v>
      </c>
      <c r="C63" s="2" t="s">
        <v>1292</v>
      </c>
      <c r="D63" s="2">
        <v>1</v>
      </c>
      <c r="E63" s="2"/>
      <c r="F63" s="2"/>
    </row>
    <row r="64" spans="1:6" hidden="1" outlineLevel="1" x14ac:dyDescent="0.25">
      <c r="A64" s="2">
        <v>6</v>
      </c>
      <c r="B64" s="2" t="s">
        <v>1293</v>
      </c>
      <c r="C64" s="2" t="s">
        <v>1294</v>
      </c>
      <c r="D64" s="2">
        <v>1</v>
      </c>
      <c r="E64" s="2"/>
      <c r="F64" s="2"/>
    </row>
    <row r="65" spans="1:6" hidden="1" outlineLevel="1" x14ac:dyDescent="0.25">
      <c r="A65" s="2">
        <v>7</v>
      </c>
      <c r="B65" s="2" t="s">
        <v>1295</v>
      </c>
      <c r="C65" s="2" t="s">
        <v>1296</v>
      </c>
      <c r="D65" s="2" t="s">
        <v>1297</v>
      </c>
      <c r="E65" s="37">
        <v>0.2</v>
      </c>
      <c r="F65" s="2"/>
    </row>
    <row r="66" spans="1:6" hidden="1" outlineLevel="1" x14ac:dyDescent="0.25">
      <c r="A66" s="2">
        <v>8</v>
      </c>
      <c r="B66" s="2" t="s">
        <v>1285</v>
      </c>
      <c r="C66" s="2" t="s">
        <v>593</v>
      </c>
      <c r="D66" s="2">
        <v>1</v>
      </c>
      <c r="E66" s="37">
        <v>0.25</v>
      </c>
      <c r="F66" s="2"/>
    </row>
    <row r="67" spans="1:6" hidden="1" outlineLevel="1" x14ac:dyDescent="0.25">
      <c r="A67" s="2">
        <v>9</v>
      </c>
      <c r="B67" s="2" t="s">
        <v>474</v>
      </c>
      <c r="C67" s="2" t="s">
        <v>1298</v>
      </c>
      <c r="D67" s="2" t="s">
        <v>1299</v>
      </c>
      <c r="E67" s="37">
        <v>0.2</v>
      </c>
      <c r="F67" s="2"/>
    </row>
    <row r="68" spans="1:6" hidden="1" outlineLevel="1" x14ac:dyDescent="0.25">
      <c r="A68" s="2">
        <v>10</v>
      </c>
      <c r="B68" s="2" t="s">
        <v>55</v>
      </c>
      <c r="C68" s="2" t="s">
        <v>1300</v>
      </c>
      <c r="D68" s="2" t="s">
        <v>1301</v>
      </c>
      <c r="E68" s="37">
        <v>0.2</v>
      </c>
      <c r="F68" s="2"/>
    </row>
    <row r="69" spans="1:6" hidden="1" outlineLevel="1" x14ac:dyDescent="0.25">
      <c r="A69" s="2">
        <v>11</v>
      </c>
      <c r="B69" s="2" t="s">
        <v>774</v>
      </c>
      <c r="C69" s="2" t="s">
        <v>1302</v>
      </c>
      <c r="D69" s="2" t="s">
        <v>724</v>
      </c>
      <c r="E69" s="37">
        <v>0.25</v>
      </c>
      <c r="F69" s="2"/>
    </row>
    <row r="70" spans="1:6" hidden="1" outlineLevel="1" x14ac:dyDescent="0.25">
      <c r="A70" s="28"/>
      <c r="B70" s="28"/>
      <c r="C70" s="28"/>
      <c r="D70" s="28"/>
      <c r="E70" s="58"/>
      <c r="F70" s="28"/>
    </row>
    <row r="71" spans="1:6" hidden="1" outlineLevel="1" x14ac:dyDescent="0.25">
      <c r="A71" s="1" t="s">
        <v>1281</v>
      </c>
    </row>
    <row r="72" spans="1:6" collapsed="1" x14ac:dyDescent="0.25"/>
    <row r="73" spans="1:6" ht="14.4" hidden="1" outlineLevel="1" thickBot="1" x14ac:dyDescent="0.3">
      <c r="A73" s="328" t="s">
        <v>1303</v>
      </c>
      <c r="B73" s="329"/>
      <c r="C73" s="329"/>
      <c r="D73" s="329"/>
      <c r="E73" s="329"/>
      <c r="F73" s="330"/>
    </row>
    <row r="74" spans="1:6" hidden="1" outlineLevel="1" x14ac:dyDescent="0.25">
      <c r="A74" s="9">
        <v>1</v>
      </c>
      <c r="B74" s="9" t="s">
        <v>1304</v>
      </c>
      <c r="C74" s="9" t="s">
        <v>1164</v>
      </c>
      <c r="D74" s="9">
        <v>2</v>
      </c>
      <c r="E74" s="40">
        <v>0.2</v>
      </c>
      <c r="F74" s="9" t="s">
        <v>79</v>
      </c>
    </row>
    <row r="75" spans="1:6" hidden="1" outlineLevel="1" x14ac:dyDescent="0.25">
      <c r="A75" s="2">
        <v>2</v>
      </c>
      <c r="B75" s="2" t="s">
        <v>812</v>
      </c>
      <c r="C75" s="2" t="s">
        <v>1305</v>
      </c>
      <c r="D75" s="2">
        <v>3</v>
      </c>
      <c r="E75" s="37">
        <v>0.2</v>
      </c>
      <c r="F75" s="2"/>
    </row>
    <row r="76" spans="1:6" hidden="1" outlineLevel="1" x14ac:dyDescent="0.25">
      <c r="A76" s="2">
        <v>3</v>
      </c>
      <c r="B76" s="2" t="s">
        <v>1306</v>
      </c>
      <c r="C76" s="2" t="s">
        <v>1307</v>
      </c>
      <c r="D76" s="2" t="s">
        <v>1138</v>
      </c>
      <c r="E76" s="37">
        <v>0.2</v>
      </c>
      <c r="F76" s="2" t="s">
        <v>79</v>
      </c>
    </row>
    <row r="77" spans="1:6" hidden="1" outlineLevel="1" x14ac:dyDescent="0.25">
      <c r="A77" s="2">
        <v>4</v>
      </c>
      <c r="B77" s="2" t="s">
        <v>1308</v>
      </c>
      <c r="C77" s="2" t="s">
        <v>1309</v>
      </c>
      <c r="D77" s="2" t="s">
        <v>1138</v>
      </c>
      <c r="E77" s="37">
        <v>0.25</v>
      </c>
      <c r="F77" s="2" t="s">
        <v>79</v>
      </c>
    </row>
    <row r="78" spans="1:6" hidden="1" outlineLevel="1" x14ac:dyDescent="0.25">
      <c r="A78" s="2">
        <v>5</v>
      </c>
      <c r="B78" s="2" t="s">
        <v>112</v>
      </c>
      <c r="C78" s="2" t="s">
        <v>1310</v>
      </c>
      <c r="D78" s="2" t="s">
        <v>1027</v>
      </c>
      <c r="E78" s="37">
        <v>0.25</v>
      </c>
      <c r="F78" s="130" t="s">
        <v>620</v>
      </c>
    </row>
    <row r="79" spans="1:6" hidden="1" outlineLevel="1" x14ac:dyDescent="0.25">
      <c r="A79" s="2">
        <v>6</v>
      </c>
      <c r="B79" s="2" t="s">
        <v>1311</v>
      </c>
      <c r="C79" s="2" t="s">
        <v>1312</v>
      </c>
      <c r="D79" s="2" t="s">
        <v>1313</v>
      </c>
      <c r="E79" s="37">
        <v>0.25</v>
      </c>
      <c r="F79" s="2"/>
    </row>
    <row r="80" spans="1:6" hidden="1" outlineLevel="1" x14ac:dyDescent="0.25">
      <c r="A80" s="2">
        <v>7</v>
      </c>
      <c r="B80" s="2" t="s">
        <v>1308</v>
      </c>
      <c r="C80" s="2" t="s">
        <v>393</v>
      </c>
      <c r="D80" s="2">
        <v>2</v>
      </c>
      <c r="E80" s="37">
        <v>0.25</v>
      </c>
      <c r="F80" s="2" t="s">
        <v>1314</v>
      </c>
    </row>
    <row r="81" spans="1:6" hidden="1" outlineLevel="1" x14ac:dyDescent="0.25">
      <c r="A81" s="2">
        <v>8</v>
      </c>
      <c r="B81" s="2" t="s">
        <v>1315</v>
      </c>
      <c r="C81" s="2" t="s">
        <v>1164</v>
      </c>
      <c r="D81" s="2">
        <v>2</v>
      </c>
      <c r="E81" s="2">
        <v>25</v>
      </c>
      <c r="F81" s="2" t="s">
        <v>79</v>
      </c>
    </row>
    <row r="82" spans="1:6" hidden="1" outlineLevel="1" x14ac:dyDescent="0.25">
      <c r="A82" s="2">
        <v>9</v>
      </c>
      <c r="B82" s="2" t="s">
        <v>617</v>
      </c>
      <c r="C82" s="2" t="s">
        <v>1316</v>
      </c>
      <c r="D82" s="2">
        <v>2</v>
      </c>
      <c r="E82" s="37">
        <v>0.25</v>
      </c>
      <c r="F82" s="2"/>
    </row>
    <row r="83" spans="1:6" hidden="1" outlineLevel="1" x14ac:dyDescent="0.25">
      <c r="A83" s="2">
        <v>10</v>
      </c>
      <c r="B83" s="2" t="s">
        <v>1111</v>
      </c>
      <c r="C83" s="2" t="s">
        <v>1317</v>
      </c>
      <c r="D83" s="2">
        <v>1</v>
      </c>
      <c r="E83" s="37">
        <v>0.2</v>
      </c>
      <c r="F83" s="2" t="s">
        <v>1318</v>
      </c>
    </row>
    <row r="84" spans="1:6" hidden="1" outlineLevel="1" x14ac:dyDescent="0.25">
      <c r="A84" s="2"/>
      <c r="B84" s="2" t="s">
        <v>1111</v>
      </c>
      <c r="C84" s="2" t="s">
        <v>756</v>
      </c>
      <c r="D84" s="160" t="s">
        <v>1027</v>
      </c>
      <c r="E84" s="2"/>
      <c r="F84" s="2"/>
    </row>
    <row r="85" spans="1:6" hidden="1" outlineLevel="1" x14ac:dyDescent="0.25">
      <c r="A85" s="2"/>
      <c r="B85" s="2" t="s">
        <v>1111</v>
      </c>
      <c r="C85" s="2" t="s">
        <v>1041</v>
      </c>
      <c r="D85" s="2">
        <v>2</v>
      </c>
      <c r="E85" s="2"/>
      <c r="F85" s="2" t="s">
        <v>1319</v>
      </c>
    </row>
    <row r="86" spans="1:6" hidden="1" outlineLevel="1" x14ac:dyDescent="0.25">
      <c r="A86" s="2"/>
      <c r="B86" s="2" t="s">
        <v>1111</v>
      </c>
      <c r="C86" s="2" t="s">
        <v>1320</v>
      </c>
      <c r="D86" s="2">
        <v>1</v>
      </c>
      <c r="E86" s="2"/>
      <c r="F86" s="2"/>
    </row>
    <row r="87" spans="1:6" hidden="1" outlineLevel="1" x14ac:dyDescent="0.25">
      <c r="A87" s="2">
        <v>11</v>
      </c>
      <c r="B87" s="2" t="s">
        <v>717</v>
      </c>
      <c r="C87" s="2" t="s">
        <v>1321</v>
      </c>
      <c r="D87" s="2">
        <v>3</v>
      </c>
      <c r="E87" s="37">
        <v>0.2</v>
      </c>
      <c r="F87" s="2"/>
    </row>
    <row r="88" spans="1:6" hidden="1" outlineLevel="1" x14ac:dyDescent="0.25">
      <c r="A88" s="2">
        <v>12</v>
      </c>
      <c r="B88" s="2" t="s">
        <v>1322</v>
      </c>
      <c r="C88" s="2" t="s">
        <v>1323</v>
      </c>
      <c r="D88" s="2" t="s">
        <v>724</v>
      </c>
      <c r="E88" s="343" t="s">
        <v>1324</v>
      </c>
      <c r="F88" s="343"/>
    </row>
    <row r="89" spans="1:6" hidden="1" outlineLevel="1" x14ac:dyDescent="0.25">
      <c r="A89" s="2">
        <v>13</v>
      </c>
      <c r="B89" s="2" t="s">
        <v>1325</v>
      </c>
      <c r="C89" s="2" t="s">
        <v>1326</v>
      </c>
      <c r="D89" s="2" t="s">
        <v>1327</v>
      </c>
      <c r="E89" s="37">
        <v>0.2</v>
      </c>
      <c r="F89" s="2" t="s">
        <v>1328</v>
      </c>
    </row>
    <row r="90" spans="1:6" hidden="1" outlineLevel="1" x14ac:dyDescent="0.25">
      <c r="A90" s="2">
        <v>14</v>
      </c>
      <c r="B90" s="2" t="s">
        <v>1329</v>
      </c>
      <c r="C90" s="2" t="s">
        <v>426</v>
      </c>
      <c r="D90" s="2">
        <v>1</v>
      </c>
      <c r="E90" s="2">
        <v>20</v>
      </c>
      <c r="F90" s="2"/>
    </row>
    <row r="91" spans="1:6" hidden="1" outlineLevel="1" x14ac:dyDescent="0.25"/>
    <row r="92" spans="1:6" collapsed="1" x14ac:dyDescent="0.25"/>
    <row r="93" spans="1:6" ht="14.4" hidden="1" outlineLevel="1" thickBot="1" x14ac:dyDescent="0.3">
      <c r="A93" s="328" t="s">
        <v>1330</v>
      </c>
      <c r="B93" s="329"/>
      <c r="C93" s="329"/>
      <c r="D93" s="329"/>
      <c r="E93" s="329"/>
      <c r="F93" s="330"/>
    </row>
    <row r="94" spans="1:6" hidden="1" outlineLevel="1" x14ac:dyDescent="0.25">
      <c r="A94" s="9">
        <v>1</v>
      </c>
      <c r="B94" s="9" t="s">
        <v>1322</v>
      </c>
      <c r="C94" s="9" t="s">
        <v>923</v>
      </c>
      <c r="D94" s="9">
        <v>3</v>
      </c>
      <c r="E94" s="40">
        <v>0.25</v>
      </c>
      <c r="F94" s="9" t="s">
        <v>1331</v>
      </c>
    </row>
    <row r="95" spans="1:6" ht="27.6" hidden="1" outlineLevel="1" x14ac:dyDescent="0.25">
      <c r="A95" s="2">
        <v>2</v>
      </c>
      <c r="B95" s="5" t="s">
        <v>1334</v>
      </c>
      <c r="C95" s="2" t="s">
        <v>1335</v>
      </c>
      <c r="D95" s="2" t="s">
        <v>724</v>
      </c>
      <c r="E95" s="37">
        <v>0.25</v>
      </c>
      <c r="F95" s="2"/>
    </row>
    <row r="96" spans="1:6" hidden="1" outlineLevel="1" x14ac:dyDescent="0.25">
      <c r="A96" s="2">
        <v>3</v>
      </c>
      <c r="B96" s="2" t="s">
        <v>100</v>
      </c>
      <c r="C96" s="2" t="s">
        <v>1332</v>
      </c>
      <c r="D96" s="2">
        <v>2</v>
      </c>
      <c r="E96" s="2" t="s">
        <v>1333</v>
      </c>
      <c r="F96" s="2"/>
    </row>
    <row r="97" spans="1:6" ht="40.200000000000003" hidden="1" customHeight="1" outlineLevel="1" x14ac:dyDescent="0.25">
      <c r="A97" s="2">
        <v>4</v>
      </c>
      <c r="B97" s="2" t="s">
        <v>1336</v>
      </c>
      <c r="C97" s="2" t="s">
        <v>451</v>
      </c>
      <c r="D97" s="2">
        <v>2</v>
      </c>
      <c r="E97" s="37">
        <v>0.2</v>
      </c>
      <c r="F97" s="5" t="s">
        <v>1337</v>
      </c>
    </row>
    <row r="98" spans="1:6" hidden="1" outlineLevel="1" x14ac:dyDescent="0.25">
      <c r="A98" s="2">
        <v>5</v>
      </c>
      <c r="B98" s="2" t="s">
        <v>1338</v>
      </c>
      <c r="C98" s="2" t="s">
        <v>1339</v>
      </c>
      <c r="D98" s="2" t="s">
        <v>1027</v>
      </c>
      <c r="E98" s="37">
        <v>0.25</v>
      </c>
      <c r="F98" s="2" t="s">
        <v>1340</v>
      </c>
    </row>
    <row r="99" spans="1:6" hidden="1" outlineLevel="1" x14ac:dyDescent="0.25">
      <c r="A99" s="2">
        <v>6</v>
      </c>
      <c r="B99" s="2" t="s">
        <v>1341</v>
      </c>
      <c r="C99" s="2" t="s">
        <v>854</v>
      </c>
      <c r="D99" s="2">
        <v>1</v>
      </c>
      <c r="E99" s="37">
        <v>0.2</v>
      </c>
      <c r="F99" s="2" t="s">
        <v>1342</v>
      </c>
    </row>
    <row r="100" spans="1:6" hidden="1" outlineLevel="1" x14ac:dyDescent="0.25">
      <c r="A100" s="2">
        <v>7</v>
      </c>
      <c r="B100" s="2" t="s">
        <v>1345</v>
      </c>
      <c r="C100" s="2" t="s">
        <v>1343</v>
      </c>
      <c r="D100" s="2" t="s">
        <v>1054</v>
      </c>
      <c r="E100" s="37">
        <v>0.25</v>
      </c>
      <c r="F100" s="2"/>
    </row>
    <row r="101" spans="1:6" hidden="1" outlineLevel="1" x14ac:dyDescent="0.25">
      <c r="A101" s="2">
        <v>8</v>
      </c>
      <c r="B101" s="2" t="s">
        <v>1345</v>
      </c>
      <c r="C101" s="2" t="s">
        <v>1344</v>
      </c>
      <c r="D101" s="2" t="s">
        <v>1289</v>
      </c>
      <c r="E101" s="37">
        <v>0.25</v>
      </c>
      <c r="F101" s="2"/>
    </row>
    <row r="102" spans="1:6" hidden="1" outlineLevel="1" x14ac:dyDescent="0.25">
      <c r="A102" s="2">
        <v>9</v>
      </c>
      <c r="B102" s="2" t="s">
        <v>474</v>
      </c>
      <c r="C102" s="2" t="s">
        <v>599</v>
      </c>
      <c r="D102" s="2">
        <v>1</v>
      </c>
      <c r="E102" s="37">
        <v>0.25</v>
      </c>
      <c r="F102" s="2"/>
    </row>
    <row r="103" spans="1:6" hidden="1" outlineLevel="1" x14ac:dyDescent="0.25">
      <c r="A103" s="2">
        <v>10</v>
      </c>
      <c r="B103" s="2" t="s">
        <v>1346</v>
      </c>
      <c r="C103" s="2" t="s">
        <v>1347</v>
      </c>
      <c r="D103" s="2" t="s">
        <v>943</v>
      </c>
      <c r="E103" s="37">
        <v>0.2</v>
      </c>
      <c r="F103" s="2"/>
    </row>
    <row r="104" spans="1:6" hidden="1" outlineLevel="1" x14ac:dyDescent="0.25"/>
    <row r="105" spans="1:6" hidden="1" outlineLevel="1" x14ac:dyDescent="0.25">
      <c r="B105" s="1" t="s">
        <v>1348</v>
      </c>
      <c r="C105" s="94">
        <v>700000</v>
      </c>
      <c r="D105" s="1" t="s">
        <v>1350</v>
      </c>
    </row>
    <row r="106" spans="1:6" hidden="1" outlineLevel="1" x14ac:dyDescent="0.25">
      <c r="B106" s="1" t="s">
        <v>841</v>
      </c>
      <c r="C106" s="94">
        <v>1150000</v>
      </c>
      <c r="D106" s="1" t="s">
        <v>1349</v>
      </c>
    </row>
    <row r="107" spans="1:6" collapsed="1" x14ac:dyDescent="0.25"/>
    <row r="108" spans="1:6" hidden="1" outlineLevel="1" x14ac:dyDescent="0.25">
      <c r="A108" s="325" t="s">
        <v>1351</v>
      </c>
      <c r="B108" s="326"/>
      <c r="C108" s="326"/>
      <c r="D108" s="326"/>
      <c r="E108" s="326"/>
      <c r="F108" s="327"/>
    </row>
    <row r="109" spans="1:6" hidden="1" outlineLevel="1" x14ac:dyDescent="0.25">
      <c r="A109" s="45">
        <v>1</v>
      </c>
      <c r="B109" s="45" t="s">
        <v>722</v>
      </c>
      <c r="C109" s="45" t="s">
        <v>756</v>
      </c>
      <c r="D109" s="45" t="s">
        <v>1027</v>
      </c>
      <c r="E109" s="46">
        <v>0.25</v>
      </c>
      <c r="F109" s="45" t="s">
        <v>1352</v>
      </c>
    </row>
    <row r="110" spans="1:6" hidden="1" outlineLevel="1" x14ac:dyDescent="0.25">
      <c r="A110" s="2">
        <v>2</v>
      </c>
      <c r="B110" s="2" t="s">
        <v>1353</v>
      </c>
      <c r="C110" s="2" t="s">
        <v>1354</v>
      </c>
      <c r="D110" s="2">
        <v>1</v>
      </c>
      <c r="E110" s="2">
        <v>25</v>
      </c>
      <c r="F110" s="2" t="s">
        <v>1358</v>
      </c>
    </row>
    <row r="111" spans="1:6" hidden="1" outlineLevel="1" x14ac:dyDescent="0.25">
      <c r="A111" s="2">
        <v>3</v>
      </c>
      <c r="B111" s="2" t="s">
        <v>474</v>
      </c>
      <c r="C111" s="2" t="s">
        <v>1355</v>
      </c>
      <c r="D111" s="2" t="s">
        <v>724</v>
      </c>
      <c r="E111" s="37">
        <v>0.25</v>
      </c>
      <c r="F111" s="2" t="s">
        <v>1356</v>
      </c>
    </row>
    <row r="112" spans="1:6" hidden="1" outlineLevel="1" x14ac:dyDescent="0.25">
      <c r="A112" s="2"/>
      <c r="B112" s="2" t="s">
        <v>474</v>
      </c>
      <c r="C112" s="2" t="s">
        <v>635</v>
      </c>
      <c r="D112" s="2">
        <v>1</v>
      </c>
      <c r="E112" s="37">
        <v>0.25</v>
      </c>
      <c r="F112" s="2" t="s">
        <v>1356</v>
      </c>
    </row>
    <row r="113" spans="1:9" hidden="1" outlineLevel="1" x14ac:dyDescent="0.25">
      <c r="A113" s="2"/>
      <c r="B113" s="2" t="s">
        <v>474</v>
      </c>
      <c r="C113" s="2" t="s">
        <v>1357</v>
      </c>
      <c r="D113" s="2">
        <v>1</v>
      </c>
      <c r="E113" s="37">
        <v>0.25</v>
      </c>
      <c r="F113" s="2"/>
    </row>
    <row r="114" spans="1:9" hidden="1" outlineLevel="1" x14ac:dyDescent="0.25">
      <c r="A114" s="2"/>
      <c r="B114" s="2" t="s">
        <v>474</v>
      </c>
      <c r="C114" s="2" t="s">
        <v>1362</v>
      </c>
      <c r="D114" s="2">
        <v>5</v>
      </c>
      <c r="E114" s="37">
        <v>0.25</v>
      </c>
      <c r="F114" s="2"/>
    </row>
    <row r="115" spans="1:9" hidden="1" outlineLevel="1" x14ac:dyDescent="0.25">
      <c r="A115" s="2">
        <v>4</v>
      </c>
      <c r="B115" s="2" t="s">
        <v>1359</v>
      </c>
      <c r="C115" s="2" t="s">
        <v>739</v>
      </c>
      <c r="D115" s="2">
        <v>1</v>
      </c>
      <c r="E115" s="37">
        <v>0.15</v>
      </c>
      <c r="F115" s="2" t="s">
        <v>1358</v>
      </c>
    </row>
    <row r="116" spans="1:9" hidden="1" outlineLevel="1" x14ac:dyDescent="0.25">
      <c r="A116" s="2">
        <v>5</v>
      </c>
      <c r="B116" s="2" t="s">
        <v>1360</v>
      </c>
      <c r="C116" s="2" t="s">
        <v>840</v>
      </c>
      <c r="D116" s="2">
        <v>1</v>
      </c>
      <c r="E116" s="37">
        <v>0.25</v>
      </c>
      <c r="F116" s="2" t="s">
        <v>1361</v>
      </c>
    </row>
    <row r="117" spans="1:9" hidden="1" outlineLevel="1" x14ac:dyDescent="0.25">
      <c r="A117" s="2">
        <v>6</v>
      </c>
      <c r="B117" s="45" t="s">
        <v>1150</v>
      </c>
      <c r="C117" s="45" t="s">
        <v>355</v>
      </c>
      <c r="D117" s="45">
        <v>1</v>
      </c>
      <c r="E117" s="46">
        <v>0.25</v>
      </c>
      <c r="F117" s="45" t="s">
        <v>1363</v>
      </c>
    </row>
    <row r="118" spans="1:9" hidden="1" outlineLevel="1" x14ac:dyDescent="0.25">
      <c r="A118" s="2">
        <v>7</v>
      </c>
      <c r="B118" s="45" t="s">
        <v>841</v>
      </c>
      <c r="C118" s="45" t="s">
        <v>355</v>
      </c>
      <c r="D118" s="45">
        <v>1</v>
      </c>
      <c r="E118" s="46">
        <v>0.25</v>
      </c>
      <c r="F118" s="45" t="s">
        <v>1364</v>
      </c>
    </row>
    <row r="119" spans="1:9" hidden="1" outlineLevel="1" x14ac:dyDescent="0.25">
      <c r="A119" s="2">
        <v>8</v>
      </c>
      <c r="B119" s="2" t="s">
        <v>1365</v>
      </c>
      <c r="C119" s="2" t="s">
        <v>1366</v>
      </c>
      <c r="D119" s="160" t="s">
        <v>1289</v>
      </c>
      <c r="E119" s="37">
        <v>0.25</v>
      </c>
      <c r="F119" s="2" t="s">
        <v>1367</v>
      </c>
    </row>
    <row r="120" spans="1:9" hidden="1" outlineLevel="1" x14ac:dyDescent="0.25">
      <c r="A120" s="22">
        <v>9</v>
      </c>
      <c r="B120" s="22" t="s">
        <v>537</v>
      </c>
      <c r="C120" s="22" t="s">
        <v>232</v>
      </c>
      <c r="D120" s="22">
        <v>1</v>
      </c>
      <c r="E120" s="158">
        <v>0.25</v>
      </c>
      <c r="F120" s="22" t="s">
        <v>1368</v>
      </c>
    </row>
    <row r="121" spans="1:9" hidden="1" outlineLevel="1" x14ac:dyDescent="0.25">
      <c r="A121" s="2">
        <v>10</v>
      </c>
      <c r="B121" s="45" t="s">
        <v>1369</v>
      </c>
      <c r="C121" s="45" t="s">
        <v>621</v>
      </c>
      <c r="D121" s="45">
        <v>3</v>
      </c>
      <c r="E121" s="46">
        <v>0.25</v>
      </c>
      <c r="F121" s="45" t="s">
        <v>1370</v>
      </c>
      <c r="G121" s="45"/>
      <c r="H121" s="45"/>
      <c r="I121" s="45"/>
    </row>
    <row r="122" spans="1:9" hidden="1" outlineLevel="1" x14ac:dyDescent="0.25">
      <c r="A122" s="2">
        <v>11</v>
      </c>
      <c r="B122" s="2" t="s">
        <v>1371</v>
      </c>
      <c r="C122" s="2" t="s">
        <v>1372</v>
      </c>
      <c r="D122" s="160" t="s">
        <v>724</v>
      </c>
      <c r="E122" s="37">
        <v>0.25</v>
      </c>
      <c r="F122" s="2"/>
    </row>
    <row r="123" spans="1:9" ht="27.6" hidden="1" outlineLevel="1" x14ac:dyDescent="0.25">
      <c r="A123" s="2">
        <v>12</v>
      </c>
      <c r="B123" s="5" t="s">
        <v>1376</v>
      </c>
      <c r="C123" s="2" t="s">
        <v>1377</v>
      </c>
      <c r="D123" s="160">
        <v>1</v>
      </c>
      <c r="E123" s="37">
        <v>0.25</v>
      </c>
      <c r="F123" s="2" t="s">
        <v>1358</v>
      </c>
    </row>
    <row r="124" spans="1:9" hidden="1" outlineLevel="1" x14ac:dyDescent="0.25">
      <c r="A124" s="2">
        <v>13</v>
      </c>
      <c r="B124" s="5" t="s">
        <v>1378</v>
      </c>
      <c r="C124" s="2" t="s">
        <v>232</v>
      </c>
      <c r="D124" s="160">
        <v>1</v>
      </c>
      <c r="E124" s="37">
        <v>0.25</v>
      </c>
      <c r="F124" s="2"/>
    </row>
    <row r="125" spans="1:9" hidden="1" outlineLevel="1" x14ac:dyDescent="0.25">
      <c r="A125" s="2">
        <v>14</v>
      </c>
      <c r="B125" s="5" t="s">
        <v>1379</v>
      </c>
      <c r="C125" s="2" t="s">
        <v>1380</v>
      </c>
      <c r="D125" s="160">
        <v>5</v>
      </c>
      <c r="E125" s="37">
        <v>0.25</v>
      </c>
      <c r="F125" s="2" t="s">
        <v>1382</v>
      </c>
    </row>
    <row r="126" spans="1:9" hidden="1" outlineLevel="1" x14ac:dyDescent="0.25">
      <c r="A126" s="2">
        <v>15</v>
      </c>
      <c r="B126" s="5" t="s">
        <v>1379</v>
      </c>
      <c r="C126" s="2" t="s">
        <v>1381</v>
      </c>
      <c r="D126" s="160" t="s">
        <v>1027</v>
      </c>
      <c r="E126" s="37">
        <v>0.25</v>
      </c>
      <c r="F126" s="2" t="s">
        <v>1382</v>
      </c>
    </row>
    <row r="127" spans="1:9" hidden="1" outlineLevel="1" x14ac:dyDescent="0.25">
      <c r="A127" s="2"/>
      <c r="B127" s="57" t="s">
        <v>1373</v>
      </c>
      <c r="C127" s="2" t="s">
        <v>1384</v>
      </c>
      <c r="D127" s="369" t="s">
        <v>1385</v>
      </c>
      <c r="E127" s="370"/>
      <c r="F127" s="371"/>
    </row>
    <row r="128" spans="1:9" hidden="1" outlineLevel="1" x14ac:dyDescent="0.25">
      <c r="A128" s="233"/>
      <c r="B128" s="233" t="s">
        <v>1373</v>
      </c>
      <c r="C128" s="233" t="s">
        <v>467</v>
      </c>
      <c r="D128" s="233">
        <v>1</v>
      </c>
      <c r="E128" s="240" t="s">
        <v>1374</v>
      </c>
      <c r="F128" s="233" t="s">
        <v>1361</v>
      </c>
    </row>
    <row r="129" spans="1:6" hidden="1" outlineLevel="1" x14ac:dyDescent="0.25">
      <c r="A129" s="233"/>
      <c r="B129" s="233" t="s">
        <v>1113</v>
      </c>
      <c r="C129" s="233" t="s">
        <v>467</v>
      </c>
      <c r="D129" s="233">
        <v>1</v>
      </c>
      <c r="E129" s="240" t="s">
        <v>1374</v>
      </c>
      <c r="F129" s="233" t="s">
        <v>1361</v>
      </c>
    </row>
    <row r="130" spans="1:6" hidden="1" outlineLevel="1" x14ac:dyDescent="0.25"/>
    <row r="131" spans="1:6" hidden="1" outlineLevel="1" x14ac:dyDescent="0.25">
      <c r="B131" s="1" t="s">
        <v>1383</v>
      </c>
    </row>
    <row r="132" spans="1:6" hidden="1" outlineLevel="1" x14ac:dyDescent="0.25">
      <c r="B132" s="1" t="s">
        <v>1375</v>
      </c>
    </row>
    <row r="133" spans="1:6" hidden="1" outlineLevel="1" x14ac:dyDescent="0.25">
      <c r="B133" s="362" t="s">
        <v>1386</v>
      </c>
      <c r="C133" s="362"/>
      <c r="D133" s="362"/>
      <c r="E133" s="362"/>
      <c r="F133" s="362"/>
    </row>
    <row r="134" spans="1:6" hidden="1" outlineLevel="1" x14ac:dyDescent="0.25">
      <c r="B134" s="1" t="s">
        <v>1387</v>
      </c>
    </row>
    <row r="135" spans="1:6" hidden="1" outlineLevel="1" x14ac:dyDescent="0.25">
      <c r="B135" s="1" t="s">
        <v>1388</v>
      </c>
      <c r="C135" s="1" t="s">
        <v>95</v>
      </c>
    </row>
    <row r="136" spans="1:6" collapsed="1" x14ac:dyDescent="0.25"/>
    <row r="137" spans="1:6" hidden="1" outlineLevel="1" x14ac:dyDescent="0.25">
      <c r="A137" s="325" t="s">
        <v>1389</v>
      </c>
      <c r="B137" s="326"/>
      <c r="C137" s="326"/>
      <c r="D137" s="326"/>
      <c r="E137" s="326"/>
      <c r="F137" s="327"/>
    </row>
    <row r="138" spans="1:6" hidden="1" outlineLevel="1" x14ac:dyDescent="0.25">
      <c r="A138" s="2">
        <v>1</v>
      </c>
      <c r="B138" s="2" t="s">
        <v>1113</v>
      </c>
      <c r="C138" s="2" t="s">
        <v>1390</v>
      </c>
      <c r="D138" s="2">
        <v>1</v>
      </c>
      <c r="E138" s="37">
        <v>0.25</v>
      </c>
      <c r="F138" s="2" t="s">
        <v>1391</v>
      </c>
    </row>
    <row r="139" spans="1:6" hidden="1" outlineLevel="1" x14ac:dyDescent="0.25">
      <c r="A139" s="2">
        <v>2</v>
      </c>
      <c r="B139" s="2" t="s">
        <v>1392</v>
      </c>
      <c r="C139" s="2" t="s">
        <v>1393</v>
      </c>
      <c r="D139" s="2">
        <v>2</v>
      </c>
      <c r="E139" s="37">
        <v>0.25</v>
      </c>
      <c r="F139" s="2" t="s">
        <v>1394</v>
      </c>
    </row>
    <row r="140" spans="1:6" hidden="1" outlineLevel="1" x14ac:dyDescent="0.25">
      <c r="A140" s="2">
        <v>3</v>
      </c>
      <c r="B140" s="2" t="s">
        <v>1395</v>
      </c>
      <c r="C140" s="2" t="s">
        <v>1396</v>
      </c>
      <c r="D140" s="160" t="s">
        <v>724</v>
      </c>
      <c r="E140" s="37">
        <v>0.25</v>
      </c>
      <c r="F140" s="2" t="s">
        <v>1397</v>
      </c>
    </row>
    <row r="141" spans="1:6" hidden="1" outlineLevel="1" x14ac:dyDescent="0.25">
      <c r="A141" s="2">
        <v>4</v>
      </c>
      <c r="B141" s="2" t="s">
        <v>1398</v>
      </c>
      <c r="C141" s="2" t="s">
        <v>1403</v>
      </c>
      <c r="D141" s="160" t="s">
        <v>724</v>
      </c>
      <c r="E141" s="37">
        <v>0.25</v>
      </c>
      <c r="F141" s="2"/>
    </row>
    <row r="142" spans="1:6" hidden="1" outlineLevel="1" x14ac:dyDescent="0.25">
      <c r="A142" s="2">
        <v>5</v>
      </c>
      <c r="B142" s="2" t="s">
        <v>537</v>
      </c>
      <c r="C142" s="2" t="s">
        <v>1399</v>
      </c>
      <c r="D142" s="160" t="s">
        <v>724</v>
      </c>
      <c r="E142" s="37">
        <v>0.25</v>
      </c>
      <c r="F142" s="2" t="s">
        <v>1402</v>
      </c>
    </row>
    <row r="143" spans="1:6" hidden="1" outlineLevel="1" x14ac:dyDescent="0.25">
      <c r="A143" s="2">
        <v>6</v>
      </c>
      <c r="B143" s="2" t="s">
        <v>1400</v>
      </c>
      <c r="C143" s="2" t="s">
        <v>1317</v>
      </c>
      <c r="D143" s="2">
        <v>2</v>
      </c>
      <c r="E143" s="37">
        <v>0.25</v>
      </c>
      <c r="F143" s="2" t="s">
        <v>1401</v>
      </c>
    </row>
    <row r="144" spans="1:6" hidden="1" outlineLevel="1" x14ac:dyDescent="0.25">
      <c r="A144" s="2">
        <v>7</v>
      </c>
      <c r="B144" s="2" t="s">
        <v>1404</v>
      </c>
      <c r="C144" s="2" t="s">
        <v>1405</v>
      </c>
      <c r="D144" s="2">
        <v>1</v>
      </c>
      <c r="E144" s="37">
        <v>0.25</v>
      </c>
      <c r="F144" s="2"/>
    </row>
    <row r="145" spans="1:6" hidden="1" outlineLevel="1" x14ac:dyDescent="0.25">
      <c r="A145" s="2">
        <v>8</v>
      </c>
      <c r="B145" s="2" t="s">
        <v>758</v>
      </c>
      <c r="C145" s="2" t="s">
        <v>840</v>
      </c>
      <c r="D145" s="2">
        <v>2</v>
      </c>
      <c r="E145" s="37">
        <v>0.25</v>
      </c>
      <c r="F145" s="2" t="s">
        <v>1413</v>
      </c>
    </row>
    <row r="146" spans="1:6" hidden="1" outlineLevel="1" x14ac:dyDescent="0.25">
      <c r="A146" s="2">
        <v>9</v>
      </c>
      <c r="B146" s="2" t="s">
        <v>434</v>
      </c>
      <c r="C146" s="2" t="s">
        <v>1406</v>
      </c>
      <c r="D146" s="2">
        <v>1</v>
      </c>
      <c r="E146" s="160" t="s">
        <v>1407</v>
      </c>
      <c r="F146" s="2"/>
    </row>
    <row r="147" spans="1:6" hidden="1" outlineLevel="1" x14ac:dyDescent="0.25">
      <c r="A147" s="2">
        <v>10</v>
      </c>
      <c r="B147" s="2" t="s">
        <v>606</v>
      </c>
      <c r="C147" s="2" t="s">
        <v>1408</v>
      </c>
      <c r="D147" s="160" t="s">
        <v>724</v>
      </c>
      <c r="E147" s="37">
        <v>0.25</v>
      </c>
      <c r="F147" s="2"/>
    </row>
    <row r="148" spans="1:6" hidden="1" outlineLevel="1" x14ac:dyDescent="0.25">
      <c r="A148" s="2">
        <v>11</v>
      </c>
      <c r="B148" s="2" t="s">
        <v>537</v>
      </c>
      <c r="C148" s="2" t="s">
        <v>1155</v>
      </c>
      <c r="D148" s="2">
        <v>1</v>
      </c>
      <c r="E148" s="37">
        <v>0.25</v>
      </c>
      <c r="F148" s="2"/>
    </row>
    <row r="149" spans="1:6" ht="27.6" hidden="1" outlineLevel="1" x14ac:dyDescent="0.25">
      <c r="A149" s="2">
        <v>12</v>
      </c>
      <c r="B149" s="2" t="s">
        <v>55</v>
      </c>
      <c r="C149" s="5" t="s">
        <v>1414</v>
      </c>
      <c r="D149" s="160" t="s">
        <v>1027</v>
      </c>
      <c r="E149" s="37">
        <v>0.25</v>
      </c>
      <c r="F149" s="5" t="s">
        <v>1415</v>
      </c>
    </row>
    <row r="150" spans="1:6" collapsed="1" x14ac:dyDescent="0.25"/>
    <row r="151" spans="1:6" hidden="1" outlineLevel="1" x14ac:dyDescent="0.25"/>
    <row r="152" spans="1:6" hidden="1" outlineLevel="1" x14ac:dyDescent="0.25">
      <c r="B152" s="1" t="s">
        <v>760</v>
      </c>
    </row>
    <row r="153" spans="1:6" hidden="1" outlineLevel="1" x14ac:dyDescent="0.25">
      <c r="B153" s="1" t="s">
        <v>761</v>
      </c>
    </row>
    <row r="154" spans="1:6" hidden="1" outlineLevel="1" x14ac:dyDescent="0.25">
      <c r="B154" s="1" t="s">
        <v>1412</v>
      </c>
    </row>
    <row r="155" spans="1:6" hidden="1" outlineLevel="1" x14ac:dyDescent="0.25">
      <c r="B155" s="362" t="s">
        <v>1409</v>
      </c>
      <c r="C155" s="362"/>
      <c r="D155" s="362"/>
      <c r="E155" s="362"/>
      <c r="F155" s="362"/>
    </row>
    <row r="156" spans="1:6" hidden="1" outlineLevel="1" x14ac:dyDescent="0.25">
      <c r="B156" s="1" t="s">
        <v>1410</v>
      </c>
    </row>
    <row r="157" spans="1:6" hidden="1" outlineLevel="1" x14ac:dyDescent="0.25">
      <c r="B157" s="1" t="s">
        <v>1411</v>
      </c>
      <c r="C157" s="1" t="s">
        <v>95</v>
      </c>
    </row>
    <row r="158" spans="1:6" ht="14.4" hidden="1" outlineLevel="1" thickBot="1" x14ac:dyDescent="0.3"/>
    <row r="159" spans="1:6" ht="14.4" hidden="1" outlineLevel="1" thickBot="1" x14ac:dyDescent="0.3">
      <c r="A159" s="328" t="s">
        <v>1416</v>
      </c>
      <c r="B159" s="329"/>
      <c r="C159" s="329"/>
      <c r="D159" s="329"/>
      <c r="E159" s="329"/>
      <c r="F159" s="330"/>
    </row>
    <row r="160" spans="1:6" hidden="1" outlineLevel="1" x14ac:dyDescent="0.25">
      <c r="A160" s="9">
        <v>1</v>
      </c>
      <c r="B160" s="9" t="s">
        <v>1418</v>
      </c>
      <c r="C160" s="9" t="s">
        <v>593</v>
      </c>
      <c r="D160" s="9">
        <v>1</v>
      </c>
      <c r="E160" s="40">
        <v>0.25</v>
      </c>
      <c r="F160" s="9" t="s">
        <v>947</v>
      </c>
    </row>
    <row r="161" spans="1:6" hidden="1" outlineLevel="1" x14ac:dyDescent="0.25">
      <c r="A161" s="2">
        <v>2</v>
      </c>
      <c r="B161" s="2" t="s">
        <v>1417</v>
      </c>
      <c r="C161" s="2" t="s">
        <v>1419</v>
      </c>
      <c r="D161" s="160" t="s">
        <v>1437</v>
      </c>
      <c r="E161" s="37">
        <v>0.25</v>
      </c>
      <c r="F161" s="2" t="s">
        <v>1402</v>
      </c>
    </row>
    <row r="162" spans="1:6" hidden="1" outlineLevel="1" x14ac:dyDescent="0.25">
      <c r="A162" s="2">
        <v>3</v>
      </c>
      <c r="B162" s="2" t="s">
        <v>771</v>
      </c>
      <c r="C162" s="2" t="s">
        <v>1424</v>
      </c>
      <c r="D162" s="2">
        <v>1</v>
      </c>
      <c r="E162" s="2"/>
      <c r="F162" s="2"/>
    </row>
    <row r="163" spans="1:6" hidden="1" outlineLevel="1" x14ac:dyDescent="0.25">
      <c r="A163" s="2">
        <v>4</v>
      </c>
      <c r="B163" s="2" t="s">
        <v>1420</v>
      </c>
      <c r="C163" s="2" t="s">
        <v>1421</v>
      </c>
      <c r="D163" s="160" t="s">
        <v>1422</v>
      </c>
      <c r="E163" s="37">
        <v>0.25</v>
      </c>
      <c r="F163" s="2" t="s">
        <v>1423</v>
      </c>
    </row>
    <row r="164" spans="1:6" hidden="1" outlineLevel="1" x14ac:dyDescent="0.25">
      <c r="A164" s="2">
        <v>5</v>
      </c>
      <c r="B164" s="2" t="s">
        <v>1425</v>
      </c>
      <c r="C164" s="2" t="s">
        <v>1426</v>
      </c>
      <c r="D164" s="160" t="s">
        <v>1427</v>
      </c>
      <c r="E164" s="37">
        <v>0.25</v>
      </c>
      <c r="F164" s="2" t="s">
        <v>1428</v>
      </c>
    </row>
    <row r="165" spans="1:6" hidden="1" outlineLevel="1" x14ac:dyDescent="0.25">
      <c r="A165" s="2">
        <v>6</v>
      </c>
      <c r="B165" s="2" t="s">
        <v>722</v>
      </c>
      <c r="C165" s="2" t="s">
        <v>1429</v>
      </c>
      <c r="D165" s="160" t="s">
        <v>1027</v>
      </c>
      <c r="E165" s="37">
        <v>0.25</v>
      </c>
      <c r="F165" s="2" t="s">
        <v>1430</v>
      </c>
    </row>
    <row r="166" spans="1:6" hidden="1" outlineLevel="1" x14ac:dyDescent="0.25">
      <c r="A166" s="2">
        <v>7</v>
      </c>
      <c r="B166" s="2" t="s">
        <v>1431</v>
      </c>
      <c r="C166" s="2" t="s">
        <v>467</v>
      </c>
      <c r="D166" s="160">
        <v>1</v>
      </c>
      <c r="E166" s="37">
        <v>0.2</v>
      </c>
      <c r="F166" s="2" t="s">
        <v>1432</v>
      </c>
    </row>
    <row r="167" spans="1:6" hidden="1" outlineLevel="1" x14ac:dyDescent="0.25">
      <c r="A167" s="2">
        <v>8</v>
      </c>
      <c r="B167" s="2" t="s">
        <v>1434</v>
      </c>
      <c r="C167" s="2" t="s">
        <v>1433</v>
      </c>
      <c r="D167" s="160" t="s">
        <v>724</v>
      </c>
      <c r="E167" s="37">
        <v>0.25</v>
      </c>
      <c r="F167" s="2" t="s">
        <v>1436</v>
      </c>
    </row>
    <row r="168" spans="1:6" hidden="1" outlineLevel="1" x14ac:dyDescent="0.25">
      <c r="A168" s="2">
        <v>9</v>
      </c>
      <c r="B168" s="2"/>
      <c r="C168" s="2" t="s">
        <v>1435</v>
      </c>
      <c r="D168" s="160" t="s">
        <v>724</v>
      </c>
      <c r="E168" s="37">
        <v>0.25</v>
      </c>
      <c r="F168" s="2"/>
    </row>
    <row r="169" spans="1:6" hidden="1" outlineLevel="1" x14ac:dyDescent="0.25">
      <c r="A169" s="2"/>
      <c r="B169" s="2"/>
      <c r="C169" s="2"/>
      <c r="D169" s="2"/>
      <c r="E169" s="2"/>
      <c r="F169" s="2"/>
    </row>
    <row r="170" spans="1:6" hidden="1" outlineLevel="1" x14ac:dyDescent="0.25">
      <c r="A170" s="2"/>
      <c r="B170" s="2"/>
      <c r="C170" s="2"/>
      <c r="D170" s="2"/>
      <c r="E170" s="2"/>
      <c r="F170" s="2"/>
    </row>
    <row r="171" spans="1:6" hidden="1" outlineLevel="1" x14ac:dyDescent="0.25"/>
    <row r="172" spans="1:6" hidden="1" outlineLevel="1" x14ac:dyDescent="0.25">
      <c r="B172" s="1" t="s">
        <v>364</v>
      </c>
    </row>
    <row r="173" spans="1:6" hidden="1" outlineLevel="1" x14ac:dyDescent="0.25">
      <c r="B173" s="1" t="s">
        <v>668</v>
      </c>
    </row>
    <row r="174" spans="1:6" hidden="1" outlineLevel="1" x14ac:dyDescent="0.25">
      <c r="B174" s="1" t="s">
        <v>1442</v>
      </c>
    </row>
    <row r="175" spans="1:6" hidden="1" outlineLevel="1" x14ac:dyDescent="0.25">
      <c r="B175" s="362" t="s">
        <v>573</v>
      </c>
      <c r="C175" s="362"/>
      <c r="D175" s="362"/>
      <c r="E175" s="362"/>
      <c r="F175" s="362"/>
    </row>
    <row r="176" spans="1:6" hidden="1" outlineLevel="1" x14ac:dyDescent="0.25">
      <c r="B176" s="1" t="s">
        <v>153</v>
      </c>
    </row>
    <row r="177" spans="1:6" hidden="1" outlineLevel="1" x14ac:dyDescent="0.25">
      <c r="B177" s="1" t="s">
        <v>1443</v>
      </c>
      <c r="C177" s="1" t="s">
        <v>95</v>
      </c>
    </row>
    <row r="178" spans="1:6" ht="14.4" hidden="1" outlineLevel="1" thickBot="1" x14ac:dyDescent="0.3"/>
    <row r="179" spans="1:6" ht="14.4" hidden="1" outlineLevel="1" collapsed="1" thickBot="1" x14ac:dyDescent="0.3">
      <c r="A179" s="328" t="s">
        <v>1444</v>
      </c>
      <c r="B179" s="329"/>
      <c r="C179" s="329"/>
      <c r="D179" s="329"/>
      <c r="E179" s="329"/>
      <c r="F179" s="330"/>
    </row>
    <row r="180" spans="1:6" hidden="1" outlineLevel="1" x14ac:dyDescent="0.25">
      <c r="A180" s="9">
        <v>1</v>
      </c>
      <c r="B180" s="9" t="s">
        <v>112</v>
      </c>
      <c r="C180" s="9" t="s">
        <v>923</v>
      </c>
      <c r="D180" s="9">
        <v>2</v>
      </c>
      <c r="E180" s="40">
        <v>0.25</v>
      </c>
      <c r="F180" s="9" t="s">
        <v>1447</v>
      </c>
    </row>
    <row r="181" spans="1:6" hidden="1" outlineLevel="1" x14ac:dyDescent="0.25">
      <c r="A181" s="2">
        <v>2</v>
      </c>
      <c r="B181" s="2" t="s">
        <v>474</v>
      </c>
      <c r="C181" s="2" t="s">
        <v>286</v>
      </c>
      <c r="D181" s="2">
        <v>1</v>
      </c>
      <c r="E181" s="37">
        <v>0.25</v>
      </c>
      <c r="F181" s="2"/>
    </row>
    <row r="182" spans="1:6" hidden="1" outlineLevel="1" x14ac:dyDescent="0.25">
      <c r="A182" s="2">
        <v>3</v>
      </c>
      <c r="B182" s="2" t="s">
        <v>474</v>
      </c>
      <c r="C182" s="2" t="s">
        <v>449</v>
      </c>
      <c r="D182" s="2">
        <v>1</v>
      </c>
      <c r="E182" s="37">
        <v>0.25</v>
      </c>
      <c r="F182" s="2"/>
    </row>
    <row r="183" spans="1:6" hidden="1" outlineLevel="1" x14ac:dyDescent="0.25">
      <c r="A183" s="2">
        <v>4</v>
      </c>
      <c r="B183" s="2" t="s">
        <v>1445</v>
      </c>
      <c r="C183" s="2" t="s">
        <v>1446</v>
      </c>
      <c r="D183" s="2">
        <v>2</v>
      </c>
      <c r="E183" s="37">
        <v>0.25</v>
      </c>
      <c r="F183" s="2"/>
    </row>
    <row r="184" spans="1:6" hidden="1" outlineLevel="1" x14ac:dyDescent="0.25">
      <c r="A184" s="2">
        <v>5</v>
      </c>
      <c r="B184" s="2" t="s">
        <v>444</v>
      </c>
      <c r="C184" s="2" t="s">
        <v>1448</v>
      </c>
      <c r="D184" s="160" t="s">
        <v>1138</v>
      </c>
      <c r="E184" s="37">
        <v>0.25</v>
      </c>
      <c r="F184" s="2"/>
    </row>
    <row r="185" spans="1:6" hidden="1" outlineLevel="1" x14ac:dyDescent="0.25">
      <c r="A185" s="2">
        <v>6</v>
      </c>
      <c r="B185" s="2" t="s">
        <v>1449</v>
      </c>
      <c r="C185" s="2" t="s">
        <v>1450</v>
      </c>
      <c r="D185" s="2">
        <v>1</v>
      </c>
      <c r="E185" s="2"/>
      <c r="F185" s="2"/>
    </row>
    <row r="186" spans="1:6" hidden="1" outlineLevel="1" x14ac:dyDescent="0.25">
      <c r="A186" s="2">
        <v>7</v>
      </c>
      <c r="B186" s="2" t="s">
        <v>1452</v>
      </c>
      <c r="C186" s="2" t="s">
        <v>1453</v>
      </c>
      <c r="D186" s="160" t="s">
        <v>1454</v>
      </c>
      <c r="E186" s="102">
        <v>0.25</v>
      </c>
      <c r="F186" s="2"/>
    </row>
    <row r="187" spans="1:6" hidden="1" outlineLevel="1" x14ac:dyDescent="0.25">
      <c r="A187" s="2">
        <v>8</v>
      </c>
      <c r="B187" s="2" t="s">
        <v>1457</v>
      </c>
      <c r="C187" s="2" t="s">
        <v>1458</v>
      </c>
      <c r="D187" s="160" t="s">
        <v>1138</v>
      </c>
      <c r="E187" s="102">
        <v>0.25</v>
      </c>
      <c r="F187" s="2"/>
    </row>
    <row r="188" spans="1:6" hidden="1" outlineLevel="1" x14ac:dyDescent="0.25">
      <c r="A188" s="2">
        <v>9</v>
      </c>
      <c r="B188" s="2" t="s">
        <v>962</v>
      </c>
      <c r="C188" s="156" t="s">
        <v>1459</v>
      </c>
      <c r="D188" s="2"/>
      <c r="E188" s="2"/>
      <c r="F188" s="2"/>
    </row>
    <row r="189" spans="1:6" hidden="1" outlineLevel="1" x14ac:dyDescent="0.25">
      <c r="A189" s="2">
        <v>10</v>
      </c>
      <c r="B189" s="2" t="s">
        <v>1461</v>
      </c>
      <c r="C189" s="2" t="s">
        <v>1460</v>
      </c>
      <c r="D189" s="2">
        <v>2</v>
      </c>
      <c r="E189" s="37">
        <v>0.25</v>
      </c>
      <c r="F189" s="2"/>
    </row>
    <row r="190" spans="1:6" hidden="1" outlineLevel="1" x14ac:dyDescent="0.25">
      <c r="A190" s="2">
        <v>11</v>
      </c>
      <c r="B190" s="2" t="s">
        <v>1463</v>
      </c>
      <c r="C190" s="2" t="s">
        <v>1462</v>
      </c>
      <c r="D190" s="2"/>
      <c r="E190" s="2"/>
      <c r="F190" s="2"/>
    </row>
    <row r="191" spans="1:6" hidden="1" outlineLevel="1" x14ac:dyDescent="0.25">
      <c r="A191" s="2">
        <v>12</v>
      </c>
      <c r="B191" s="2" t="s">
        <v>1466</v>
      </c>
      <c r="C191" s="2" t="s">
        <v>1464</v>
      </c>
      <c r="D191" s="2">
        <v>2</v>
      </c>
      <c r="E191" s="2"/>
      <c r="F191" s="2" t="s">
        <v>1465</v>
      </c>
    </row>
    <row r="192" spans="1:6" hidden="1" outlineLevel="1" x14ac:dyDescent="0.25"/>
    <row r="193" spans="1:6" hidden="1" outlineLevel="1" x14ac:dyDescent="0.25">
      <c r="B193" s="1" t="s">
        <v>477</v>
      </c>
      <c r="E193" s="1" t="s">
        <v>95</v>
      </c>
    </row>
    <row r="194" spans="1:6" hidden="1" outlineLevel="1" x14ac:dyDescent="0.25">
      <c r="B194" s="1" t="s">
        <v>761</v>
      </c>
    </row>
    <row r="195" spans="1:6" hidden="1" outlineLevel="1" x14ac:dyDescent="0.25">
      <c r="B195" s="1" t="s">
        <v>1467</v>
      </c>
    </row>
    <row r="196" spans="1:6" hidden="1" outlineLevel="1" x14ac:dyDescent="0.25">
      <c r="B196" s="362" t="s">
        <v>601</v>
      </c>
      <c r="C196" s="362"/>
      <c r="D196" s="362"/>
      <c r="E196" s="362"/>
      <c r="F196" s="362"/>
    </row>
    <row r="197" spans="1:6" hidden="1" outlineLevel="1" x14ac:dyDescent="0.25">
      <c r="B197" s="1" t="s">
        <v>1451</v>
      </c>
    </row>
    <row r="198" spans="1:6" hidden="1" outlineLevel="1" x14ac:dyDescent="0.25">
      <c r="B198" s="1" t="s">
        <v>1456</v>
      </c>
      <c r="C198" s="1" t="s">
        <v>1455</v>
      </c>
    </row>
    <row r="199" spans="1:6" ht="14.4" hidden="1" outlineLevel="1" thickBot="1" x14ac:dyDescent="0.3"/>
    <row r="200" spans="1:6" hidden="1" outlineLevel="1" collapsed="1" x14ac:dyDescent="0.25">
      <c r="A200" s="325" t="s">
        <v>1468</v>
      </c>
      <c r="B200" s="326"/>
      <c r="C200" s="326"/>
      <c r="D200" s="326"/>
      <c r="E200" s="326"/>
      <c r="F200" s="327"/>
    </row>
    <row r="201" spans="1:6" hidden="1" outlineLevel="1" x14ac:dyDescent="0.25">
      <c r="A201" s="2">
        <v>1</v>
      </c>
      <c r="B201" s="2" t="s">
        <v>839</v>
      </c>
      <c r="C201" s="2" t="s">
        <v>393</v>
      </c>
      <c r="D201" s="2">
        <v>1</v>
      </c>
      <c r="E201" s="37">
        <v>0.25</v>
      </c>
      <c r="F201" s="2"/>
    </row>
    <row r="202" spans="1:6" hidden="1" outlineLevel="1" x14ac:dyDescent="0.25">
      <c r="A202" s="2">
        <v>2</v>
      </c>
      <c r="B202" s="2" t="s">
        <v>1469</v>
      </c>
      <c r="C202" s="2" t="s">
        <v>1470</v>
      </c>
      <c r="D202" s="160" t="s">
        <v>724</v>
      </c>
      <c r="E202" s="102">
        <v>0.25</v>
      </c>
      <c r="F202" s="160"/>
    </row>
    <row r="203" spans="1:6" hidden="1" outlineLevel="1" x14ac:dyDescent="0.25">
      <c r="A203" s="2">
        <v>3</v>
      </c>
      <c r="B203" s="2" t="s">
        <v>1471</v>
      </c>
      <c r="C203" s="2" t="s">
        <v>1472</v>
      </c>
      <c r="D203" s="160" t="s">
        <v>724</v>
      </c>
      <c r="E203" s="37">
        <v>0.25</v>
      </c>
      <c r="F203" s="2" t="s">
        <v>1490</v>
      </c>
    </row>
    <row r="204" spans="1:6" hidden="1" outlineLevel="1" x14ac:dyDescent="0.25">
      <c r="A204" s="2">
        <v>4</v>
      </c>
      <c r="B204" s="2" t="s">
        <v>537</v>
      </c>
      <c r="C204" s="2" t="s">
        <v>355</v>
      </c>
      <c r="D204" s="2">
        <v>2</v>
      </c>
      <c r="E204" s="37">
        <v>0.25</v>
      </c>
      <c r="F204" s="2" t="s">
        <v>1473</v>
      </c>
    </row>
    <row r="205" spans="1:6" hidden="1" outlineLevel="1" x14ac:dyDescent="0.25">
      <c r="A205" s="2">
        <v>5</v>
      </c>
      <c r="B205" s="2" t="s">
        <v>1474</v>
      </c>
      <c r="C205" s="2" t="s">
        <v>954</v>
      </c>
      <c r="D205" s="2">
        <v>1</v>
      </c>
      <c r="E205" s="37">
        <v>0.25</v>
      </c>
      <c r="F205" s="2"/>
    </row>
    <row r="206" spans="1:6" hidden="1" outlineLevel="1" x14ac:dyDescent="0.25">
      <c r="A206" s="2">
        <v>6</v>
      </c>
      <c r="B206" s="2" t="s">
        <v>1475</v>
      </c>
      <c r="C206" s="2" t="s">
        <v>1476</v>
      </c>
      <c r="D206" s="160" t="s">
        <v>724</v>
      </c>
      <c r="E206" s="37">
        <v>0.25</v>
      </c>
      <c r="F206" s="2"/>
    </row>
    <row r="207" spans="1:6" hidden="1" outlineLevel="1" x14ac:dyDescent="0.25">
      <c r="A207" s="2">
        <v>7</v>
      </c>
      <c r="B207" s="2" t="s">
        <v>1478</v>
      </c>
      <c r="C207" s="2" t="s">
        <v>1479</v>
      </c>
      <c r="D207" s="160" t="s">
        <v>1480</v>
      </c>
      <c r="E207" s="37">
        <v>0.25</v>
      </c>
      <c r="F207" s="2" t="s">
        <v>1481</v>
      </c>
    </row>
    <row r="208" spans="1:6" hidden="1" outlineLevel="1" x14ac:dyDescent="0.25">
      <c r="A208" s="2">
        <v>8</v>
      </c>
      <c r="B208" s="2" t="s">
        <v>474</v>
      </c>
      <c r="C208" s="2" t="s">
        <v>1482</v>
      </c>
      <c r="D208" s="160" t="s">
        <v>1138</v>
      </c>
      <c r="E208" s="37">
        <v>0.25</v>
      </c>
      <c r="F208" s="2" t="s">
        <v>1483</v>
      </c>
    </row>
    <row r="209" spans="1:6" hidden="1" outlineLevel="1" x14ac:dyDescent="0.25">
      <c r="A209" s="2">
        <v>9</v>
      </c>
      <c r="B209" s="2" t="s">
        <v>1484</v>
      </c>
      <c r="C209" s="2" t="s">
        <v>1485</v>
      </c>
      <c r="D209" s="2" t="s">
        <v>1486</v>
      </c>
      <c r="E209" s="37">
        <v>0.25</v>
      </c>
      <c r="F209" s="2"/>
    </row>
    <row r="210" spans="1:6" hidden="1" outlineLevel="1" x14ac:dyDescent="0.25">
      <c r="A210" s="2">
        <v>10</v>
      </c>
      <c r="B210" s="2" t="s">
        <v>1487</v>
      </c>
      <c r="C210" s="2" t="s">
        <v>1518</v>
      </c>
      <c r="D210" s="2"/>
      <c r="E210" s="2"/>
      <c r="F210" s="2"/>
    </row>
    <row r="211" spans="1:6" hidden="1" outlineLevel="1" x14ac:dyDescent="0.25">
      <c r="A211" s="2">
        <v>11</v>
      </c>
      <c r="B211" s="2" t="s">
        <v>1492</v>
      </c>
      <c r="C211" s="2" t="s">
        <v>1491</v>
      </c>
      <c r="D211" s="2" t="s">
        <v>724</v>
      </c>
      <c r="E211" s="37">
        <v>0.25</v>
      </c>
      <c r="F211" s="2"/>
    </row>
    <row r="212" spans="1:6" hidden="1" outlineLevel="1" x14ac:dyDescent="0.25">
      <c r="E212" s="125"/>
    </row>
    <row r="213" spans="1:6" hidden="1" outlineLevel="1" x14ac:dyDescent="0.25">
      <c r="E213" s="125"/>
    </row>
    <row r="214" spans="1:6" hidden="1" outlineLevel="1" x14ac:dyDescent="0.25">
      <c r="B214" s="1" t="s">
        <v>1488</v>
      </c>
      <c r="E214" s="1" t="s">
        <v>95</v>
      </c>
    </row>
    <row r="215" spans="1:6" hidden="1" outlineLevel="1" x14ac:dyDescent="0.25">
      <c r="B215" s="1" t="s">
        <v>1489</v>
      </c>
    </row>
    <row r="216" spans="1:6" hidden="1" outlineLevel="1" x14ac:dyDescent="0.25">
      <c r="B216" s="1" t="s">
        <v>1467</v>
      </c>
    </row>
    <row r="217" spans="1:6" hidden="1" outlineLevel="1" x14ac:dyDescent="0.25">
      <c r="B217" s="362" t="s">
        <v>1477</v>
      </c>
      <c r="C217" s="362"/>
      <c r="D217" s="362"/>
      <c r="E217" s="362"/>
      <c r="F217" s="362"/>
    </row>
    <row r="218" spans="1:6" hidden="1" outlineLevel="1" x14ac:dyDescent="0.25">
      <c r="B218" s="1" t="s">
        <v>153</v>
      </c>
    </row>
    <row r="219" spans="1:6" hidden="1" outlineLevel="1" x14ac:dyDescent="0.25">
      <c r="B219" s="1" t="s">
        <v>1443</v>
      </c>
    </row>
    <row r="220" spans="1:6" collapsed="1" x14ac:dyDescent="0.25"/>
    <row r="221" spans="1:6" ht="14.4" hidden="1" outlineLevel="1" thickBot="1" x14ac:dyDescent="0.3">
      <c r="A221" s="328" t="s">
        <v>1493</v>
      </c>
      <c r="B221" s="329"/>
      <c r="C221" s="329"/>
      <c r="D221" s="329"/>
      <c r="E221" s="329"/>
      <c r="F221" s="330"/>
    </row>
    <row r="222" spans="1:6" ht="27.6" hidden="1" outlineLevel="1" x14ac:dyDescent="0.25">
      <c r="A222" s="241">
        <v>1</v>
      </c>
      <c r="B222" s="242" t="s">
        <v>1515</v>
      </c>
      <c r="C222" s="241" t="s">
        <v>744</v>
      </c>
      <c r="D222" s="241">
        <v>3</v>
      </c>
      <c r="E222" s="243">
        <v>0.25</v>
      </c>
      <c r="F222" s="242" t="s">
        <v>1494</v>
      </c>
    </row>
    <row r="223" spans="1:6" hidden="1" outlineLevel="1" x14ac:dyDescent="0.25">
      <c r="A223" s="2">
        <v>2</v>
      </c>
      <c r="B223" s="2" t="s">
        <v>1497</v>
      </c>
      <c r="C223" s="2" t="s">
        <v>1495</v>
      </c>
      <c r="D223" s="2">
        <v>2</v>
      </c>
      <c r="E223" s="2"/>
      <c r="F223" s="2" t="s">
        <v>1496</v>
      </c>
    </row>
    <row r="224" spans="1:6" hidden="1" outlineLevel="1" x14ac:dyDescent="0.25">
      <c r="A224" s="2">
        <v>3</v>
      </c>
      <c r="B224" s="2" t="s">
        <v>1498</v>
      </c>
      <c r="C224" s="2" t="s">
        <v>954</v>
      </c>
      <c r="D224" s="2">
        <v>1</v>
      </c>
      <c r="E224" s="2"/>
      <c r="F224" s="2" t="s">
        <v>1499</v>
      </c>
    </row>
    <row r="225" spans="1:6" hidden="1" outlineLevel="1" x14ac:dyDescent="0.25">
      <c r="A225" s="2">
        <v>4</v>
      </c>
      <c r="B225" s="2" t="s">
        <v>474</v>
      </c>
      <c r="C225" s="2" t="s">
        <v>1096</v>
      </c>
      <c r="D225" s="2">
        <v>1</v>
      </c>
      <c r="E225" s="2"/>
      <c r="F225" s="2"/>
    </row>
    <row r="226" spans="1:6" hidden="1" outlineLevel="1" x14ac:dyDescent="0.25">
      <c r="A226" s="2">
        <v>5</v>
      </c>
      <c r="B226" s="5" t="s">
        <v>1509</v>
      </c>
      <c r="C226" s="2" t="s">
        <v>1500</v>
      </c>
      <c r="D226" s="2">
        <v>3</v>
      </c>
      <c r="E226" s="37">
        <v>0.25</v>
      </c>
      <c r="F226" s="2" t="s">
        <v>1501</v>
      </c>
    </row>
    <row r="227" spans="1:6" hidden="1" outlineLevel="1" x14ac:dyDescent="0.25">
      <c r="A227" s="2">
        <v>6</v>
      </c>
      <c r="B227" s="2" t="s">
        <v>1502</v>
      </c>
      <c r="C227" s="2" t="s">
        <v>1503</v>
      </c>
      <c r="D227" s="2">
        <v>2</v>
      </c>
      <c r="E227" s="37">
        <v>0.2</v>
      </c>
      <c r="F227" s="2" t="s">
        <v>483</v>
      </c>
    </row>
    <row r="228" spans="1:6" hidden="1" outlineLevel="1" x14ac:dyDescent="0.25">
      <c r="A228" s="2">
        <v>7</v>
      </c>
      <c r="B228" s="2" t="s">
        <v>1504</v>
      </c>
      <c r="C228" s="2" t="s">
        <v>1505</v>
      </c>
      <c r="D228" s="2">
        <v>1</v>
      </c>
      <c r="E228" s="2" t="s">
        <v>1506</v>
      </c>
      <c r="F228" s="2" t="s">
        <v>483</v>
      </c>
    </row>
    <row r="229" spans="1:6" hidden="1" outlineLevel="1" x14ac:dyDescent="0.25">
      <c r="A229" s="2"/>
      <c r="B229" s="2" t="s">
        <v>1504</v>
      </c>
      <c r="C229" s="2" t="s">
        <v>1507</v>
      </c>
      <c r="D229" s="2">
        <v>1</v>
      </c>
      <c r="E229" s="2" t="s">
        <v>1506</v>
      </c>
      <c r="F229" s="2" t="s">
        <v>1517</v>
      </c>
    </row>
    <row r="230" spans="1:6" hidden="1" outlineLevel="1" x14ac:dyDescent="0.25">
      <c r="A230" s="2">
        <v>8</v>
      </c>
      <c r="B230" s="2" t="s">
        <v>1508</v>
      </c>
      <c r="C230" s="2" t="s">
        <v>1512</v>
      </c>
      <c r="D230" s="160" t="s">
        <v>1027</v>
      </c>
      <c r="E230" s="37">
        <v>0.25</v>
      </c>
      <c r="F230" s="2"/>
    </row>
    <row r="231" spans="1:6" hidden="1" outlineLevel="1" x14ac:dyDescent="0.25">
      <c r="A231" s="2">
        <v>9</v>
      </c>
      <c r="B231" s="2" t="s">
        <v>1452</v>
      </c>
      <c r="C231" s="2" t="s">
        <v>1510</v>
      </c>
      <c r="D231" s="160" t="s">
        <v>943</v>
      </c>
      <c r="E231" s="37">
        <v>0.25</v>
      </c>
      <c r="F231" s="2" t="s">
        <v>1511</v>
      </c>
    </row>
    <row r="232" spans="1:6" hidden="1" outlineLevel="1" x14ac:dyDescent="0.25">
      <c r="A232" s="2">
        <v>10</v>
      </c>
      <c r="B232" s="2" t="s">
        <v>1023</v>
      </c>
      <c r="C232" s="156" t="s">
        <v>1513</v>
      </c>
      <c r="D232" s="160" t="s">
        <v>724</v>
      </c>
      <c r="E232" s="37">
        <v>0.25</v>
      </c>
      <c r="F232" s="2"/>
    </row>
    <row r="233" spans="1:6" hidden="1" outlineLevel="1" x14ac:dyDescent="0.25">
      <c r="A233" s="2">
        <v>11</v>
      </c>
      <c r="B233" s="2" t="s">
        <v>112</v>
      </c>
      <c r="C233" s="2" t="s">
        <v>1514</v>
      </c>
      <c r="D233" s="160" t="s">
        <v>724</v>
      </c>
      <c r="E233" s="37">
        <v>0.25</v>
      </c>
      <c r="F233" s="2"/>
    </row>
    <row r="234" spans="1:6" hidden="1" outlineLevel="1" x14ac:dyDescent="0.25"/>
    <row r="235" spans="1:6" hidden="1" outlineLevel="1" x14ac:dyDescent="0.25"/>
    <row r="236" spans="1:6" hidden="1" outlineLevel="1" x14ac:dyDescent="0.25">
      <c r="B236" s="1" t="s">
        <v>760</v>
      </c>
      <c r="E236" s="1" t="s">
        <v>95</v>
      </c>
    </row>
    <row r="237" spans="1:6" hidden="1" outlineLevel="1" x14ac:dyDescent="0.25">
      <c r="B237" s="1" t="s">
        <v>761</v>
      </c>
    </row>
    <row r="238" spans="1:6" hidden="1" outlineLevel="1" x14ac:dyDescent="0.25">
      <c r="B238" s="1" t="s">
        <v>1516</v>
      </c>
    </row>
    <row r="239" spans="1:6" hidden="1" outlineLevel="1" x14ac:dyDescent="0.25">
      <c r="B239" s="362" t="s">
        <v>573</v>
      </c>
      <c r="C239" s="362"/>
      <c r="D239" s="362"/>
      <c r="E239" s="362"/>
      <c r="F239" s="362"/>
    </row>
    <row r="240" spans="1:6" hidden="1" outlineLevel="1" x14ac:dyDescent="0.25">
      <c r="B240" s="1" t="s">
        <v>153</v>
      </c>
    </row>
    <row r="241" spans="1:6" hidden="1" outlineLevel="1" x14ac:dyDescent="0.25">
      <c r="B241" s="1" t="s">
        <v>1443</v>
      </c>
    </row>
    <row r="242" spans="1:6" ht="14.4" hidden="1" outlineLevel="1" thickBot="1" x14ac:dyDescent="0.3"/>
    <row r="243" spans="1:6" hidden="1" outlineLevel="1" x14ac:dyDescent="0.25">
      <c r="A243" s="325" t="s">
        <v>1519</v>
      </c>
      <c r="B243" s="326"/>
      <c r="C243" s="326"/>
      <c r="D243" s="326"/>
      <c r="E243" s="326"/>
      <c r="F243" s="327"/>
    </row>
    <row r="244" spans="1:6" hidden="1" outlineLevel="1" x14ac:dyDescent="0.25">
      <c r="A244" s="2">
        <v>1</v>
      </c>
      <c r="B244" s="2" t="s">
        <v>444</v>
      </c>
      <c r="C244" s="2" t="s">
        <v>840</v>
      </c>
      <c r="D244" s="2">
        <v>3</v>
      </c>
      <c r="E244" s="37">
        <v>0.25</v>
      </c>
      <c r="F244" s="2"/>
    </row>
    <row r="245" spans="1:6" ht="27.6" hidden="1" outlineLevel="1" x14ac:dyDescent="0.25">
      <c r="A245" s="2">
        <v>2</v>
      </c>
      <c r="B245" s="5" t="s">
        <v>1536</v>
      </c>
      <c r="C245" s="2" t="s">
        <v>854</v>
      </c>
      <c r="D245" s="2">
        <v>3</v>
      </c>
      <c r="E245" s="37">
        <v>0.25</v>
      </c>
      <c r="F245" s="2" t="s">
        <v>79</v>
      </c>
    </row>
    <row r="246" spans="1:6" hidden="1" outlineLevel="1" x14ac:dyDescent="0.25">
      <c r="A246" s="2">
        <v>3</v>
      </c>
      <c r="B246" s="2" t="s">
        <v>555</v>
      </c>
      <c r="C246" s="2" t="s">
        <v>1520</v>
      </c>
      <c r="D246" s="2">
        <v>1</v>
      </c>
      <c r="E246" s="37">
        <v>0.25</v>
      </c>
      <c r="F246" s="2"/>
    </row>
    <row r="247" spans="1:6" hidden="1" outlineLevel="1" x14ac:dyDescent="0.25">
      <c r="A247" s="2">
        <v>4</v>
      </c>
      <c r="B247" s="2" t="s">
        <v>1537</v>
      </c>
      <c r="C247" s="2" t="s">
        <v>355</v>
      </c>
      <c r="D247" s="2">
        <v>1</v>
      </c>
      <c r="E247" s="37">
        <v>0.25</v>
      </c>
      <c r="F247" s="2" t="s">
        <v>79</v>
      </c>
    </row>
    <row r="248" spans="1:6" hidden="1" outlineLevel="1" x14ac:dyDescent="0.25">
      <c r="A248" s="126">
        <v>5</v>
      </c>
      <c r="B248" s="126" t="s">
        <v>1534</v>
      </c>
      <c r="C248" s="126" t="s">
        <v>923</v>
      </c>
      <c r="D248" s="126">
        <v>2</v>
      </c>
      <c r="E248" s="127">
        <v>0.25</v>
      </c>
      <c r="F248" s="126" t="s">
        <v>1521</v>
      </c>
    </row>
    <row r="249" spans="1:6" hidden="1" outlineLevel="1" x14ac:dyDescent="0.25">
      <c r="A249" s="2">
        <v>6</v>
      </c>
      <c r="B249" s="2" t="s">
        <v>1522</v>
      </c>
      <c r="C249" s="2" t="s">
        <v>1523</v>
      </c>
      <c r="D249" s="2">
        <v>1</v>
      </c>
      <c r="E249" s="2">
        <v>1450000</v>
      </c>
      <c r="F249" s="2"/>
    </row>
    <row r="250" spans="1:6" hidden="1" outlineLevel="1" x14ac:dyDescent="0.25">
      <c r="A250" s="2">
        <v>7</v>
      </c>
      <c r="B250" s="2" t="s">
        <v>1538</v>
      </c>
      <c r="C250" s="2" t="s">
        <v>393</v>
      </c>
      <c r="D250" s="2">
        <v>3</v>
      </c>
      <c r="E250" s="37">
        <v>0.25</v>
      </c>
      <c r="F250" s="2" t="s">
        <v>1524</v>
      </c>
    </row>
    <row r="251" spans="1:6" hidden="1" outlineLevel="1" x14ac:dyDescent="0.25">
      <c r="A251" s="2">
        <v>8</v>
      </c>
      <c r="B251" s="2" t="s">
        <v>1525</v>
      </c>
      <c r="C251" s="2" t="s">
        <v>854</v>
      </c>
      <c r="D251" s="2">
        <v>1</v>
      </c>
      <c r="E251" s="37">
        <v>0.25</v>
      </c>
      <c r="F251" s="2" t="s">
        <v>1526</v>
      </c>
    </row>
    <row r="252" spans="1:6" hidden="1" outlineLevel="1" x14ac:dyDescent="0.25">
      <c r="A252" s="2">
        <v>9</v>
      </c>
      <c r="B252" s="2" t="s">
        <v>1471</v>
      </c>
      <c r="C252" s="2" t="s">
        <v>1527</v>
      </c>
      <c r="D252" s="2">
        <v>1</v>
      </c>
      <c r="E252" s="37">
        <v>0.25</v>
      </c>
      <c r="F252" s="2" t="s">
        <v>1528</v>
      </c>
    </row>
    <row r="253" spans="1:6" hidden="1" outlineLevel="1" x14ac:dyDescent="0.25">
      <c r="A253" s="2">
        <v>10</v>
      </c>
      <c r="B253" s="2" t="s">
        <v>1530</v>
      </c>
      <c r="C253" s="2" t="s">
        <v>1531</v>
      </c>
      <c r="D253" s="2" t="s">
        <v>1027</v>
      </c>
      <c r="E253" s="2" t="s">
        <v>1532</v>
      </c>
      <c r="F253" s="2" t="s">
        <v>1533</v>
      </c>
    </row>
    <row r="254" spans="1:6" hidden="1" outlineLevel="1" x14ac:dyDescent="0.25">
      <c r="A254" s="2">
        <v>11</v>
      </c>
      <c r="B254" s="2" t="s">
        <v>1113</v>
      </c>
      <c r="C254" s="2" t="s">
        <v>1317</v>
      </c>
      <c r="D254" s="2">
        <v>2</v>
      </c>
      <c r="E254" s="37">
        <v>0.25</v>
      </c>
      <c r="F254" s="2"/>
    </row>
    <row r="255" spans="1:6" hidden="1" outlineLevel="1" x14ac:dyDescent="0.25">
      <c r="A255" s="2"/>
      <c r="B255" s="28"/>
      <c r="C255" s="28"/>
      <c r="D255" s="28"/>
      <c r="E255" s="28"/>
      <c r="F255" s="28"/>
    </row>
    <row r="256" spans="1:6" hidden="1" outlineLevel="1" x14ac:dyDescent="0.25">
      <c r="A256" s="2"/>
      <c r="B256" s="1" t="s">
        <v>1488</v>
      </c>
      <c r="E256" s="1" t="s">
        <v>95</v>
      </c>
    </row>
    <row r="257" spans="1:6" hidden="1" outlineLevel="1" x14ac:dyDescent="0.25">
      <c r="A257" s="2"/>
      <c r="B257" s="1" t="s">
        <v>1489</v>
      </c>
    </row>
    <row r="258" spans="1:6" hidden="1" outlineLevel="1" x14ac:dyDescent="0.25">
      <c r="A258" s="2"/>
      <c r="B258" s="1" t="s">
        <v>1535</v>
      </c>
    </row>
    <row r="259" spans="1:6" hidden="1" outlineLevel="1" x14ac:dyDescent="0.25">
      <c r="B259" s="362" t="s">
        <v>1529</v>
      </c>
      <c r="C259" s="362"/>
      <c r="D259" s="362"/>
      <c r="E259" s="362"/>
      <c r="F259" s="362"/>
    </row>
    <row r="260" spans="1:6" hidden="1" outlineLevel="1" x14ac:dyDescent="0.25">
      <c r="B260" s="1" t="s">
        <v>153</v>
      </c>
    </row>
    <row r="261" spans="1:6" hidden="1" outlineLevel="1" x14ac:dyDescent="0.25">
      <c r="B261" s="1" t="s">
        <v>1443</v>
      </c>
    </row>
    <row r="262" spans="1:6" collapsed="1" x14ac:dyDescent="0.25"/>
    <row r="263" spans="1:6" ht="14.4" hidden="1" outlineLevel="1" thickBot="1" x14ac:dyDescent="0.3">
      <c r="A263" s="328" t="s">
        <v>1539</v>
      </c>
      <c r="B263" s="329"/>
      <c r="C263" s="329"/>
      <c r="D263" s="329"/>
      <c r="E263" s="329"/>
      <c r="F263" s="330"/>
    </row>
    <row r="264" spans="1:6" hidden="1" outlineLevel="1" x14ac:dyDescent="0.25">
      <c r="A264" s="241">
        <v>1</v>
      </c>
      <c r="B264" s="241" t="s">
        <v>1285</v>
      </c>
      <c r="C264" s="241" t="s">
        <v>1540</v>
      </c>
      <c r="D264" s="244" t="s">
        <v>943</v>
      </c>
      <c r="E264" s="243">
        <v>0.25</v>
      </c>
      <c r="F264" s="241"/>
    </row>
    <row r="265" spans="1:6" hidden="1" outlineLevel="1" x14ac:dyDescent="0.25">
      <c r="A265" s="2">
        <v>2</v>
      </c>
      <c r="B265" s="2" t="s">
        <v>1554</v>
      </c>
      <c r="C265" s="2" t="s">
        <v>1543</v>
      </c>
      <c r="D265" s="2">
        <v>1</v>
      </c>
      <c r="E265" s="37">
        <v>0.25</v>
      </c>
      <c r="F265" s="2"/>
    </row>
    <row r="266" spans="1:6" hidden="1" outlineLevel="1" x14ac:dyDescent="0.25">
      <c r="A266" s="2">
        <v>3</v>
      </c>
      <c r="B266" s="2" t="s">
        <v>112</v>
      </c>
      <c r="C266" s="2" t="s">
        <v>1544</v>
      </c>
      <c r="D266" s="2">
        <v>2</v>
      </c>
      <c r="E266" s="37">
        <v>0.25</v>
      </c>
      <c r="F266" s="2"/>
    </row>
    <row r="267" spans="1:6" hidden="1" outlineLevel="1" x14ac:dyDescent="0.25">
      <c r="A267" s="2">
        <v>4</v>
      </c>
      <c r="B267" s="2" t="s">
        <v>112</v>
      </c>
      <c r="C267" s="2" t="s">
        <v>1545</v>
      </c>
      <c r="D267" s="2">
        <v>3</v>
      </c>
      <c r="E267" s="37">
        <v>0.25</v>
      </c>
      <c r="F267" s="2"/>
    </row>
    <row r="268" spans="1:6" hidden="1" outlineLevel="1" x14ac:dyDescent="0.25">
      <c r="A268" s="2">
        <v>5</v>
      </c>
      <c r="B268" s="2" t="s">
        <v>1546</v>
      </c>
      <c r="C268" s="2" t="s">
        <v>1547</v>
      </c>
      <c r="D268" s="160" t="s">
        <v>724</v>
      </c>
      <c r="E268" s="37">
        <v>0.25</v>
      </c>
      <c r="F268" s="2" t="s">
        <v>423</v>
      </c>
    </row>
    <row r="269" spans="1:6" hidden="1" outlineLevel="1" x14ac:dyDescent="0.25">
      <c r="A269" s="2">
        <v>6</v>
      </c>
      <c r="B269" s="2" t="s">
        <v>1549</v>
      </c>
      <c r="C269" s="2" t="s">
        <v>360</v>
      </c>
      <c r="D269" s="2">
        <v>1</v>
      </c>
      <c r="E269" s="37">
        <v>0.25</v>
      </c>
      <c r="F269" s="2"/>
    </row>
    <row r="270" spans="1:6" hidden="1" outlineLevel="1" x14ac:dyDescent="0.25">
      <c r="A270" s="2">
        <v>7</v>
      </c>
      <c r="B270" s="2" t="s">
        <v>1550</v>
      </c>
      <c r="C270" s="2" t="s">
        <v>1551</v>
      </c>
      <c r="D270" s="160" t="s">
        <v>724</v>
      </c>
      <c r="E270" s="37">
        <v>0.25</v>
      </c>
      <c r="F270" s="2"/>
    </row>
    <row r="271" spans="1:6" hidden="1" outlineLevel="1" x14ac:dyDescent="0.25">
      <c r="A271" s="2">
        <v>8</v>
      </c>
      <c r="B271" s="2"/>
      <c r="C271" s="2"/>
      <c r="D271" s="2"/>
      <c r="E271" s="2"/>
      <c r="F271" s="2"/>
    </row>
    <row r="272" spans="1:6" hidden="1" outlineLevel="1" x14ac:dyDescent="0.25"/>
    <row r="273" spans="1:6" hidden="1" outlineLevel="1" x14ac:dyDescent="0.25"/>
    <row r="274" spans="1:6" hidden="1" outlineLevel="1" x14ac:dyDescent="0.25">
      <c r="B274" s="1" t="s">
        <v>1552</v>
      </c>
      <c r="E274" s="1" t="s">
        <v>95</v>
      </c>
    </row>
    <row r="275" spans="1:6" hidden="1" outlineLevel="1" x14ac:dyDescent="0.25">
      <c r="B275" s="1" t="s">
        <v>365</v>
      </c>
    </row>
    <row r="276" spans="1:6" hidden="1" outlineLevel="1" x14ac:dyDescent="0.25">
      <c r="B276" s="1" t="s">
        <v>1553</v>
      </c>
    </row>
    <row r="277" spans="1:6" hidden="1" outlineLevel="1" x14ac:dyDescent="0.25">
      <c r="B277" s="362" t="s">
        <v>1541</v>
      </c>
      <c r="C277" s="362"/>
      <c r="D277" s="362"/>
      <c r="E277" s="362"/>
      <c r="F277" s="362"/>
    </row>
    <row r="278" spans="1:6" hidden="1" outlineLevel="1" x14ac:dyDescent="0.25">
      <c r="B278" s="1" t="s">
        <v>1451</v>
      </c>
    </row>
    <row r="279" spans="1:6" hidden="1" outlineLevel="1" x14ac:dyDescent="0.25">
      <c r="B279" s="1" t="s">
        <v>1542</v>
      </c>
      <c r="C279" s="1" t="s">
        <v>1548</v>
      </c>
    </row>
    <row r="280" spans="1:6" ht="14.4" hidden="1" outlineLevel="1" thickBot="1" x14ac:dyDescent="0.3"/>
    <row r="281" spans="1:6" ht="14.4" hidden="1" outlineLevel="1" thickBot="1" x14ac:dyDescent="0.3">
      <c r="A281" s="328" t="s">
        <v>1555</v>
      </c>
      <c r="B281" s="329"/>
      <c r="C281" s="329"/>
      <c r="D281" s="329"/>
      <c r="E281" s="329"/>
      <c r="F281" s="330"/>
    </row>
    <row r="282" spans="1:6" hidden="1" outlineLevel="1" x14ac:dyDescent="0.25">
      <c r="A282" s="9">
        <v>1</v>
      </c>
      <c r="B282" s="9" t="s">
        <v>1556</v>
      </c>
      <c r="C282" s="9" t="s">
        <v>520</v>
      </c>
      <c r="D282" s="9">
        <v>2</v>
      </c>
      <c r="E282" s="40">
        <v>0.25</v>
      </c>
      <c r="F282" s="9"/>
    </row>
    <row r="283" spans="1:6" hidden="1" outlineLevel="1" x14ac:dyDescent="0.25">
      <c r="A283" s="2">
        <v>2</v>
      </c>
      <c r="B283" s="2" t="s">
        <v>474</v>
      </c>
      <c r="C283" s="2" t="s">
        <v>1557</v>
      </c>
      <c r="D283" s="160" t="s">
        <v>943</v>
      </c>
      <c r="E283" s="37">
        <v>0.25</v>
      </c>
      <c r="F283" s="2"/>
    </row>
    <row r="284" spans="1:6" hidden="1" outlineLevel="1" x14ac:dyDescent="0.25">
      <c r="A284" s="2">
        <v>3</v>
      </c>
      <c r="B284" s="2" t="s">
        <v>1558</v>
      </c>
      <c r="C284" s="2"/>
      <c r="D284" s="2"/>
      <c r="E284" s="2"/>
      <c r="F284" s="2" t="s">
        <v>1559</v>
      </c>
    </row>
    <row r="285" spans="1:6" hidden="1" outlineLevel="1" x14ac:dyDescent="0.25">
      <c r="A285" s="2">
        <v>4</v>
      </c>
      <c r="B285" s="2" t="s">
        <v>1560</v>
      </c>
      <c r="C285" s="2" t="s">
        <v>1561</v>
      </c>
      <c r="D285" s="2" t="s">
        <v>724</v>
      </c>
      <c r="E285" s="37">
        <v>0.25</v>
      </c>
      <c r="F285" s="2" t="s">
        <v>1562</v>
      </c>
    </row>
    <row r="286" spans="1:6" ht="14.4" hidden="1" outlineLevel="1" thickBot="1" x14ac:dyDescent="0.3"/>
    <row r="287" spans="1:6" ht="15" hidden="1" customHeight="1" outlineLevel="1" thickBot="1" x14ac:dyDescent="0.3">
      <c r="A287" s="328" t="s">
        <v>1563</v>
      </c>
      <c r="B287" s="329"/>
      <c r="C287" s="329"/>
      <c r="D287" s="329"/>
      <c r="E287" s="329"/>
      <c r="F287" s="330"/>
    </row>
    <row r="288" spans="1:6" hidden="1" outlineLevel="1" x14ac:dyDescent="0.25">
      <c r="A288" s="9">
        <v>1</v>
      </c>
      <c r="B288" s="9" t="s">
        <v>1564</v>
      </c>
      <c r="C288" s="9" t="s">
        <v>520</v>
      </c>
      <c r="D288" s="9">
        <v>3</v>
      </c>
      <c r="E288" s="40">
        <v>0.25</v>
      </c>
      <c r="F288" s="9" t="s">
        <v>1568</v>
      </c>
    </row>
    <row r="289" spans="1:6" hidden="1" outlineLevel="1" x14ac:dyDescent="0.25">
      <c r="A289" s="2"/>
      <c r="B289" s="2"/>
      <c r="C289" s="2" t="s">
        <v>1565</v>
      </c>
      <c r="D289" s="160" t="s">
        <v>1027</v>
      </c>
      <c r="E289" s="37">
        <v>0.25</v>
      </c>
      <c r="F289" s="2" t="s">
        <v>1568</v>
      </c>
    </row>
    <row r="290" spans="1:6" hidden="1" outlineLevel="1" x14ac:dyDescent="0.25">
      <c r="A290" s="2">
        <v>2</v>
      </c>
      <c r="B290" s="2" t="s">
        <v>444</v>
      </c>
      <c r="C290" s="2" t="s">
        <v>360</v>
      </c>
      <c r="D290" s="2">
        <v>1</v>
      </c>
      <c r="E290" s="37">
        <v>0.25</v>
      </c>
      <c r="F290" s="2"/>
    </row>
    <row r="291" spans="1:6" hidden="1" outlineLevel="1" x14ac:dyDescent="0.25">
      <c r="A291" s="2">
        <v>3</v>
      </c>
      <c r="B291" s="2" t="s">
        <v>1570</v>
      </c>
      <c r="C291" s="2" t="s">
        <v>1566</v>
      </c>
      <c r="D291" s="245" t="s">
        <v>1567</v>
      </c>
      <c r="E291" s="37">
        <v>0.25</v>
      </c>
      <c r="F291" s="2" t="s">
        <v>1569</v>
      </c>
    </row>
    <row r="292" spans="1:6" hidden="1" outlineLevel="1" x14ac:dyDescent="0.25"/>
    <row r="293" spans="1:6" ht="14.4" hidden="1" outlineLevel="1" thickBot="1" x14ac:dyDescent="0.3"/>
    <row r="294" spans="1:6" ht="14.4" hidden="1" outlineLevel="1" thickBot="1" x14ac:dyDescent="0.3">
      <c r="A294" s="328" t="s">
        <v>1608</v>
      </c>
      <c r="B294" s="329"/>
      <c r="C294" s="329"/>
      <c r="D294" s="329"/>
      <c r="E294" s="329"/>
      <c r="F294" s="330"/>
    </row>
    <row r="295" spans="1:6" hidden="1" outlineLevel="1" x14ac:dyDescent="0.25">
      <c r="A295" s="9">
        <v>1</v>
      </c>
      <c r="B295" s="9" t="s">
        <v>1615</v>
      </c>
      <c r="C295" s="9" t="s">
        <v>923</v>
      </c>
      <c r="D295" s="9">
        <v>1</v>
      </c>
      <c r="E295" s="40">
        <v>0.25</v>
      </c>
      <c r="F295" s="9" t="s">
        <v>947</v>
      </c>
    </row>
    <row r="296" spans="1:6" hidden="1" outlineLevel="1" x14ac:dyDescent="0.25">
      <c r="A296" s="2">
        <v>2</v>
      </c>
      <c r="B296" s="2" t="s">
        <v>474</v>
      </c>
      <c r="C296" s="2" t="s">
        <v>593</v>
      </c>
      <c r="D296" s="2">
        <v>1</v>
      </c>
      <c r="E296" s="37">
        <v>0.25</v>
      </c>
      <c r="F296" s="2"/>
    </row>
    <row r="297" spans="1:6" ht="41.4" hidden="1" outlineLevel="1" x14ac:dyDescent="0.25">
      <c r="A297" s="2">
        <v>3</v>
      </c>
      <c r="B297" s="5" t="s">
        <v>1609</v>
      </c>
      <c r="C297" s="2" t="s">
        <v>393</v>
      </c>
      <c r="D297" s="2">
        <v>6</v>
      </c>
      <c r="E297" s="37">
        <v>0.25</v>
      </c>
      <c r="F297" s="5" t="s">
        <v>1622</v>
      </c>
    </row>
    <row r="298" spans="1:6" hidden="1" outlineLevel="1" x14ac:dyDescent="0.25">
      <c r="A298" s="2">
        <v>4</v>
      </c>
      <c r="B298" s="2" t="s">
        <v>1113</v>
      </c>
      <c r="C298" s="2" t="s">
        <v>393</v>
      </c>
      <c r="D298" s="2">
        <v>2</v>
      </c>
      <c r="E298" s="37">
        <v>0.25</v>
      </c>
      <c r="F298" s="2"/>
    </row>
    <row r="299" spans="1:6" ht="27.6" hidden="1" outlineLevel="1" x14ac:dyDescent="0.25">
      <c r="A299" s="2">
        <v>5</v>
      </c>
      <c r="B299" s="5" t="s">
        <v>1624</v>
      </c>
      <c r="C299" s="2" t="s">
        <v>393</v>
      </c>
      <c r="D299" s="2">
        <v>2</v>
      </c>
      <c r="E299" s="37">
        <v>0.15</v>
      </c>
      <c r="F299" s="2" t="s">
        <v>1623</v>
      </c>
    </row>
    <row r="300" spans="1:6" hidden="1" outlineLevel="1" x14ac:dyDescent="0.25"/>
    <row r="301" spans="1:6" hidden="1" outlineLevel="1" x14ac:dyDescent="0.25"/>
    <row r="302" spans="1:6" hidden="1" outlineLevel="1" x14ac:dyDescent="0.25">
      <c r="B302" s="1" t="s">
        <v>1616</v>
      </c>
      <c r="E302" s="1" t="s">
        <v>95</v>
      </c>
    </row>
    <row r="303" spans="1:6" hidden="1" outlineLevel="1" x14ac:dyDescent="0.25">
      <c r="B303" s="1" t="s">
        <v>1617</v>
      </c>
    </row>
    <row r="304" spans="1:6" hidden="1" outlineLevel="1" x14ac:dyDescent="0.25">
      <c r="B304" s="1" t="s">
        <v>1618</v>
      </c>
    </row>
    <row r="305" spans="1:6" hidden="1" outlineLevel="1" x14ac:dyDescent="0.25">
      <c r="B305" s="362" t="s">
        <v>1613</v>
      </c>
      <c r="C305" s="362"/>
      <c r="D305" s="362"/>
      <c r="E305" s="362"/>
      <c r="F305" s="362"/>
    </row>
    <row r="306" spans="1:6" hidden="1" outlineLevel="1" x14ac:dyDescent="0.25">
      <c r="B306" s="1" t="s">
        <v>1451</v>
      </c>
    </row>
    <row r="307" spans="1:6" hidden="1" outlineLevel="1" x14ac:dyDescent="0.25">
      <c r="B307" s="1" t="s">
        <v>1614</v>
      </c>
    </row>
    <row r="308" spans="1:6" collapsed="1" x14ac:dyDescent="0.25"/>
    <row r="309" spans="1:6" ht="14.4" hidden="1" outlineLevel="1" thickBot="1" x14ac:dyDescent="0.3">
      <c r="A309" s="328" t="s">
        <v>1625</v>
      </c>
      <c r="B309" s="329"/>
      <c r="C309" s="329"/>
      <c r="D309" s="329"/>
      <c r="E309" s="329"/>
      <c r="F309" s="330"/>
    </row>
    <row r="310" spans="1:6" hidden="1" outlineLevel="1" x14ac:dyDescent="0.25">
      <c r="A310" s="9">
        <v>1</v>
      </c>
      <c r="B310" s="9" t="s">
        <v>1626</v>
      </c>
      <c r="C310" s="9" t="s">
        <v>1631</v>
      </c>
      <c r="D310" s="257" t="s">
        <v>1630</v>
      </c>
      <c r="E310" s="9" t="s">
        <v>95</v>
      </c>
      <c r="F310" s="9" t="s">
        <v>1627</v>
      </c>
    </row>
    <row r="311" spans="1:6" hidden="1" outlineLevel="1" x14ac:dyDescent="0.25">
      <c r="A311" s="2">
        <v>2</v>
      </c>
      <c r="B311" s="2" t="s">
        <v>474</v>
      </c>
      <c r="C311" s="9" t="s">
        <v>1632</v>
      </c>
      <c r="D311" s="257" t="s">
        <v>600</v>
      </c>
      <c r="E311" s="2"/>
      <c r="F311" s="9" t="s">
        <v>1627</v>
      </c>
    </row>
    <row r="312" spans="1:6" hidden="1" outlineLevel="1" x14ac:dyDescent="0.25">
      <c r="A312" s="2">
        <v>3</v>
      </c>
      <c r="B312" s="2" t="s">
        <v>1628</v>
      </c>
      <c r="C312" s="2" t="s">
        <v>1629</v>
      </c>
      <c r="D312" s="160" t="s">
        <v>597</v>
      </c>
      <c r="E312" s="37">
        <v>0.25</v>
      </c>
      <c r="F312" s="2"/>
    </row>
    <row r="313" spans="1:6" ht="27.6" hidden="1" outlineLevel="1" x14ac:dyDescent="0.25">
      <c r="A313" s="2">
        <v>4</v>
      </c>
      <c r="B313" s="5" t="s">
        <v>1633</v>
      </c>
      <c r="C313" s="2" t="s">
        <v>360</v>
      </c>
      <c r="D313" s="2">
        <v>2</v>
      </c>
      <c r="E313" s="37">
        <v>0.25</v>
      </c>
      <c r="F313" s="2"/>
    </row>
    <row r="314" spans="1:6" ht="27.6" hidden="1" outlineLevel="1" x14ac:dyDescent="0.25">
      <c r="A314" s="2">
        <v>5</v>
      </c>
      <c r="B314" s="5" t="s">
        <v>1633</v>
      </c>
      <c r="C314" s="2" t="s">
        <v>752</v>
      </c>
      <c r="D314" s="2">
        <v>2</v>
      </c>
      <c r="E314" s="37">
        <v>0.25</v>
      </c>
      <c r="F314" s="2" t="s">
        <v>1634</v>
      </c>
    </row>
    <row r="315" spans="1:6" hidden="1" outlineLevel="1" x14ac:dyDescent="0.25">
      <c r="A315" s="2">
        <v>6</v>
      </c>
      <c r="B315" s="2" t="s">
        <v>1635</v>
      </c>
      <c r="C315" s="2" t="s">
        <v>1642</v>
      </c>
      <c r="D315" s="2">
        <v>2</v>
      </c>
      <c r="E315" s="37">
        <v>0.25</v>
      </c>
      <c r="F315" s="2" t="s">
        <v>1636</v>
      </c>
    </row>
    <row r="316" spans="1:6" ht="27.6" hidden="1" outlineLevel="1" x14ac:dyDescent="0.25">
      <c r="A316" s="2">
        <v>7</v>
      </c>
      <c r="B316" s="5" t="s">
        <v>1633</v>
      </c>
      <c r="C316" s="2" t="s">
        <v>821</v>
      </c>
      <c r="D316" s="2">
        <v>1</v>
      </c>
      <c r="E316" s="37">
        <v>0.25</v>
      </c>
      <c r="F316" s="2" t="s">
        <v>1645</v>
      </c>
    </row>
    <row r="317" spans="1:6" ht="27.6" hidden="1" outlineLevel="1" x14ac:dyDescent="0.25">
      <c r="A317" s="2">
        <v>8</v>
      </c>
      <c r="B317" s="5" t="s">
        <v>1633</v>
      </c>
      <c r="C317" s="2" t="s">
        <v>520</v>
      </c>
      <c r="D317" s="2">
        <v>3</v>
      </c>
      <c r="E317" s="37">
        <v>0.25</v>
      </c>
      <c r="F317" s="2"/>
    </row>
    <row r="318" spans="1:6" ht="41.4" hidden="1" outlineLevel="1" x14ac:dyDescent="0.25">
      <c r="A318" s="2">
        <v>9</v>
      </c>
      <c r="B318" s="6" t="s">
        <v>1638</v>
      </c>
      <c r="C318" s="5" t="s">
        <v>1641</v>
      </c>
      <c r="D318" s="160" t="s">
        <v>1327</v>
      </c>
      <c r="E318" s="37">
        <v>0.25</v>
      </c>
      <c r="F318" s="2"/>
    </row>
    <row r="319" spans="1:6" ht="31.2" hidden="1" outlineLevel="1" x14ac:dyDescent="0.25">
      <c r="A319" s="2">
        <v>10</v>
      </c>
      <c r="B319" s="6" t="s">
        <v>1640</v>
      </c>
      <c r="C319" s="8" t="s">
        <v>449</v>
      </c>
      <c r="D319" s="261">
        <v>4</v>
      </c>
      <c r="E319" s="260">
        <v>0.25</v>
      </c>
      <c r="F319" s="151" t="s">
        <v>1639</v>
      </c>
    </row>
    <row r="320" spans="1:6" hidden="1" outlineLevel="1" x14ac:dyDescent="0.25"/>
    <row r="321" spans="1:8" hidden="1" outlineLevel="1" x14ac:dyDescent="0.25"/>
    <row r="322" spans="1:8" hidden="1" outlineLevel="1" x14ac:dyDescent="0.25">
      <c r="B322" s="1" t="s">
        <v>1488</v>
      </c>
      <c r="E322" s="1" t="s">
        <v>95</v>
      </c>
    </row>
    <row r="323" spans="1:8" hidden="1" outlineLevel="1" x14ac:dyDescent="0.25">
      <c r="B323" s="1" t="s">
        <v>1489</v>
      </c>
    </row>
    <row r="324" spans="1:8" hidden="1" outlineLevel="1" x14ac:dyDescent="0.25">
      <c r="B324" s="1" t="s">
        <v>1644</v>
      </c>
    </row>
    <row r="325" spans="1:8" hidden="1" outlineLevel="1" x14ac:dyDescent="0.25">
      <c r="B325" s="362" t="s">
        <v>1647</v>
      </c>
      <c r="C325" s="362"/>
      <c r="D325" s="362"/>
      <c r="E325" s="362"/>
      <c r="F325" s="362"/>
    </row>
    <row r="326" spans="1:8" hidden="1" outlineLevel="1" x14ac:dyDescent="0.25">
      <c r="B326" s="1" t="s">
        <v>1451</v>
      </c>
    </row>
    <row r="327" spans="1:8" hidden="1" outlineLevel="1" x14ac:dyDescent="0.25">
      <c r="B327" s="1" t="s">
        <v>1646</v>
      </c>
      <c r="C327" s="1" t="s">
        <v>1643</v>
      </c>
    </row>
    <row r="328" spans="1:8" collapsed="1" x14ac:dyDescent="0.25"/>
    <row r="329" spans="1:8" ht="14.4" hidden="1" outlineLevel="1" thickBot="1" x14ac:dyDescent="0.3">
      <c r="A329" s="328" t="s">
        <v>1649</v>
      </c>
      <c r="B329" s="329"/>
      <c r="C329" s="329"/>
      <c r="D329" s="329"/>
      <c r="E329" s="329"/>
      <c r="F329" s="330"/>
    </row>
    <row r="330" spans="1:8" hidden="1" outlineLevel="1" x14ac:dyDescent="0.25">
      <c r="A330" s="9">
        <v>1</v>
      </c>
      <c r="B330" s="9" t="s">
        <v>1671</v>
      </c>
      <c r="C330" s="9" t="s">
        <v>1661</v>
      </c>
      <c r="D330" s="9">
        <v>2</v>
      </c>
      <c r="E330" s="40">
        <v>0.3</v>
      </c>
      <c r="F330" s="9" t="s">
        <v>1662</v>
      </c>
    </row>
    <row r="331" spans="1:8" hidden="1" outlineLevel="1" x14ac:dyDescent="0.25">
      <c r="A331" s="2">
        <v>2</v>
      </c>
      <c r="B331" s="2" t="s">
        <v>1672</v>
      </c>
      <c r="C331" s="2" t="s">
        <v>1003</v>
      </c>
      <c r="D331" s="2">
        <v>1</v>
      </c>
      <c r="E331" s="37">
        <v>0.25</v>
      </c>
      <c r="F331" s="2" t="s">
        <v>122</v>
      </c>
      <c r="H331" s="1" t="s">
        <v>95</v>
      </c>
    </row>
    <row r="332" spans="1:8" hidden="1" outlineLevel="1" x14ac:dyDescent="0.25">
      <c r="A332" s="2">
        <v>3</v>
      </c>
      <c r="B332" s="2" t="s">
        <v>1186</v>
      </c>
      <c r="C332" s="2" t="s">
        <v>1663</v>
      </c>
      <c r="D332" s="2">
        <v>2</v>
      </c>
      <c r="E332" s="2"/>
      <c r="F332" s="2" t="s">
        <v>1664</v>
      </c>
    </row>
    <row r="333" spans="1:8" hidden="1" outlineLevel="1" x14ac:dyDescent="0.25">
      <c r="A333" s="2">
        <v>4</v>
      </c>
      <c r="B333" s="2" t="s">
        <v>1665</v>
      </c>
      <c r="C333" s="2" t="s">
        <v>1666</v>
      </c>
      <c r="D333" s="2" t="s">
        <v>724</v>
      </c>
      <c r="E333" s="37">
        <v>0.25</v>
      </c>
      <c r="F333" s="2"/>
    </row>
    <row r="334" spans="1:8" hidden="1" outlineLevel="1" x14ac:dyDescent="0.25">
      <c r="A334" s="2">
        <v>5</v>
      </c>
      <c r="B334" s="2" t="s">
        <v>1667</v>
      </c>
      <c r="C334" s="2" t="s">
        <v>1668</v>
      </c>
      <c r="D334" s="2">
        <v>1</v>
      </c>
      <c r="E334" s="2" t="s">
        <v>1669</v>
      </c>
      <c r="F334" s="2" t="s">
        <v>1670</v>
      </c>
    </row>
    <row r="335" spans="1:8" hidden="1" outlineLevel="1" x14ac:dyDescent="0.25">
      <c r="A335" s="2">
        <v>6</v>
      </c>
      <c r="B335" s="2" t="s">
        <v>1673</v>
      </c>
      <c r="C335" s="2" t="s">
        <v>449</v>
      </c>
      <c r="D335" s="2">
        <v>1</v>
      </c>
      <c r="E335" s="37">
        <v>0.25</v>
      </c>
      <c r="F335" s="2"/>
    </row>
    <row r="336" spans="1:8" hidden="1" outlineLevel="1" x14ac:dyDescent="0.25">
      <c r="A336" s="2">
        <v>7</v>
      </c>
      <c r="B336" s="2" t="s">
        <v>1674</v>
      </c>
      <c r="C336" s="2" t="s">
        <v>449</v>
      </c>
      <c r="D336" s="2">
        <v>2</v>
      </c>
      <c r="E336" s="37">
        <v>0.25</v>
      </c>
      <c r="F336" s="2" t="s">
        <v>1675</v>
      </c>
    </row>
    <row r="337" spans="1:6" hidden="1" outlineLevel="1" x14ac:dyDescent="0.25">
      <c r="A337" s="2">
        <v>8</v>
      </c>
      <c r="B337" s="2" t="s">
        <v>1676</v>
      </c>
      <c r="C337" s="2" t="s">
        <v>1677</v>
      </c>
      <c r="D337" s="2" t="s">
        <v>724</v>
      </c>
      <c r="E337" s="37">
        <v>0.25</v>
      </c>
      <c r="F337" s="2" t="s">
        <v>1678</v>
      </c>
    </row>
    <row r="338" spans="1:6" ht="27.6" hidden="1" outlineLevel="1" x14ac:dyDescent="0.25">
      <c r="A338" s="2">
        <v>9</v>
      </c>
      <c r="B338" s="8" t="s">
        <v>1679</v>
      </c>
      <c r="C338" s="13" t="s">
        <v>1693</v>
      </c>
      <c r="D338" s="263" t="s">
        <v>1680</v>
      </c>
      <c r="E338" s="263"/>
      <c r="F338" s="263" t="s">
        <v>1681</v>
      </c>
    </row>
    <row r="339" spans="1:6" hidden="1" outlineLevel="1" x14ac:dyDescent="0.25">
      <c r="A339" s="2">
        <v>10</v>
      </c>
      <c r="B339" s="2" t="s">
        <v>1682</v>
      </c>
      <c r="C339" s="2" t="s">
        <v>467</v>
      </c>
      <c r="D339" s="2"/>
      <c r="E339" s="2"/>
      <c r="F339" s="2" t="s">
        <v>1683</v>
      </c>
    </row>
    <row r="340" spans="1:6" hidden="1" outlineLevel="1" x14ac:dyDescent="0.25">
      <c r="A340" s="2">
        <v>11</v>
      </c>
      <c r="B340" s="2" t="s">
        <v>1696</v>
      </c>
      <c r="C340" s="2" t="s">
        <v>1697</v>
      </c>
      <c r="D340" s="2">
        <v>1</v>
      </c>
      <c r="E340" s="37">
        <v>0.25</v>
      </c>
      <c r="F340" s="2" t="s">
        <v>1698</v>
      </c>
    </row>
    <row r="341" spans="1:6" hidden="1" outlineLevel="1" x14ac:dyDescent="0.25"/>
    <row r="342" spans="1:6" ht="14.4" hidden="1" outlineLevel="1" thickBot="1" x14ac:dyDescent="0.3"/>
    <row r="343" spans="1:6" ht="14.4" hidden="1" outlineLevel="1" thickBot="1" x14ac:dyDescent="0.3">
      <c r="A343" s="328" t="s">
        <v>1710</v>
      </c>
      <c r="B343" s="329"/>
      <c r="C343" s="329"/>
      <c r="D343" s="329"/>
      <c r="E343" s="329"/>
      <c r="F343" s="330"/>
    </row>
    <row r="344" spans="1:6" hidden="1" outlineLevel="1" x14ac:dyDescent="0.25">
      <c r="A344" s="9">
        <v>1</v>
      </c>
      <c r="B344" s="9" t="s">
        <v>1713</v>
      </c>
      <c r="C344" s="9" t="s">
        <v>1714</v>
      </c>
      <c r="D344" s="213" t="s">
        <v>1717</v>
      </c>
      <c r="E344" s="9"/>
      <c r="F344" s="9"/>
    </row>
    <row r="345" spans="1:6" hidden="1" outlineLevel="1" x14ac:dyDescent="0.25">
      <c r="A345" s="2">
        <v>2</v>
      </c>
      <c r="B345" s="2" t="s">
        <v>474</v>
      </c>
      <c r="C345" s="2" t="s">
        <v>1715</v>
      </c>
      <c r="D345" s="160" t="s">
        <v>1027</v>
      </c>
      <c r="E345" s="2"/>
      <c r="F345" s="2"/>
    </row>
    <row r="346" spans="1:6" hidden="1" outlineLevel="1" x14ac:dyDescent="0.25">
      <c r="A346" s="2">
        <v>3</v>
      </c>
      <c r="B346" s="2" t="s">
        <v>474</v>
      </c>
      <c r="C346" s="2" t="s">
        <v>266</v>
      </c>
      <c r="D346" s="160">
        <v>1</v>
      </c>
      <c r="E346" s="2"/>
      <c r="F346" s="2"/>
    </row>
    <row r="347" spans="1:6" hidden="1" outlineLevel="1" x14ac:dyDescent="0.25">
      <c r="A347" s="2">
        <v>4</v>
      </c>
      <c r="B347" s="2" t="s">
        <v>1716</v>
      </c>
      <c r="C347" s="2" t="s">
        <v>1729</v>
      </c>
      <c r="D347" s="160" t="s">
        <v>1027</v>
      </c>
      <c r="E347" s="2"/>
      <c r="F347" s="2" t="s">
        <v>1730</v>
      </c>
    </row>
    <row r="348" spans="1:6" hidden="1" outlineLevel="1" x14ac:dyDescent="0.25">
      <c r="A348" s="2">
        <v>5</v>
      </c>
      <c r="B348" s="2" t="s">
        <v>1716</v>
      </c>
      <c r="C348" s="2" t="s">
        <v>1728</v>
      </c>
      <c r="D348" s="160" t="s">
        <v>1027</v>
      </c>
      <c r="E348" s="2"/>
      <c r="F348" s="2" t="s">
        <v>1645</v>
      </c>
    </row>
    <row r="349" spans="1:6" hidden="1" outlineLevel="1" x14ac:dyDescent="0.25">
      <c r="A349" s="2">
        <v>6</v>
      </c>
      <c r="B349" s="2" t="s">
        <v>1718</v>
      </c>
      <c r="C349" s="2" t="s">
        <v>1083</v>
      </c>
      <c r="D349" s="2">
        <v>2</v>
      </c>
      <c r="E349" s="2"/>
      <c r="F349" s="2" t="s">
        <v>1719</v>
      </c>
    </row>
    <row r="350" spans="1:6" hidden="1" outlineLevel="1" x14ac:dyDescent="0.25">
      <c r="A350" s="2">
        <v>7</v>
      </c>
      <c r="B350" s="2" t="s">
        <v>1720</v>
      </c>
      <c r="C350" s="2" t="s">
        <v>1721</v>
      </c>
      <c r="D350" s="160" t="s">
        <v>943</v>
      </c>
      <c r="E350" s="2"/>
      <c r="F350" s="2"/>
    </row>
    <row r="351" spans="1:6" hidden="1" outlineLevel="1" x14ac:dyDescent="0.25">
      <c r="A351" s="2">
        <v>8</v>
      </c>
      <c r="B351" s="2" t="s">
        <v>1731</v>
      </c>
      <c r="C351" s="2" t="s">
        <v>1732</v>
      </c>
      <c r="D351" s="2">
        <v>1</v>
      </c>
      <c r="E351" s="2"/>
      <c r="F351" s="2"/>
    </row>
    <row r="352" spans="1:6" hidden="1" outlineLevel="1" x14ac:dyDescent="0.25"/>
    <row r="353" spans="1:7" hidden="1" outlineLevel="1" x14ac:dyDescent="0.25"/>
    <row r="354" spans="1:7" hidden="1" outlineLevel="1" x14ac:dyDescent="0.25"/>
    <row r="355" spans="1:7" hidden="1" outlineLevel="1" x14ac:dyDescent="0.25">
      <c r="B355" s="362" t="s">
        <v>1712</v>
      </c>
      <c r="C355" s="362"/>
      <c r="D355" s="362"/>
      <c r="E355" s="362"/>
      <c r="F355" s="362"/>
    </row>
    <row r="356" spans="1:7" hidden="1" outlineLevel="1" x14ac:dyDescent="0.25">
      <c r="B356" s="1" t="s">
        <v>1725</v>
      </c>
    </row>
    <row r="357" spans="1:7" hidden="1" outlineLevel="1" x14ac:dyDescent="0.25">
      <c r="B357" s="1" t="s">
        <v>1711</v>
      </c>
      <c r="C357" s="1" t="s">
        <v>1191</v>
      </c>
    </row>
    <row r="358" spans="1:7" hidden="1" outlineLevel="1" x14ac:dyDescent="0.25">
      <c r="B358" s="94">
        <v>714000</v>
      </c>
      <c r="C358" s="1" t="s">
        <v>1726</v>
      </c>
      <c r="D358" s="1" t="s">
        <v>1727</v>
      </c>
    </row>
    <row r="359" spans="1:7" hidden="1" outlineLevel="1" x14ac:dyDescent="0.25"/>
    <row r="360" spans="1:7" hidden="1" outlineLevel="1" x14ac:dyDescent="0.25"/>
    <row r="361" spans="1:7" hidden="1" outlineLevel="1" x14ac:dyDescent="0.25">
      <c r="B361" s="1" t="s">
        <v>1650</v>
      </c>
      <c r="D361" s="1" t="s">
        <v>1651</v>
      </c>
    </row>
    <row r="362" spans="1:7" collapsed="1" x14ac:dyDescent="0.25"/>
    <row r="363" spans="1:7" hidden="1" outlineLevel="1" x14ac:dyDescent="0.25">
      <c r="A363" s="363" t="s">
        <v>1735</v>
      </c>
      <c r="B363" s="363"/>
      <c r="C363" s="363"/>
      <c r="D363" s="363"/>
      <c r="E363" s="363"/>
      <c r="F363" s="363"/>
    </row>
    <row r="364" spans="1:7" ht="27.6" hidden="1" outlineLevel="1" x14ac:dyDescent="0.25">
      <c r="A364" s="2">
        <v>1</v>
      </c>
      <c r="B364" s="2" t="s">
        <v>1741</v>
      </c>
      <c r="C364" s="2" t="s">
        <v>840</v>
      </c>
      <c r="D364" s="2">
        <v>1</v>
      </c>
      <c r="E364" s="116">
        <v>1250000</v>
      </c>
      <c r="F364" s="5" t="s">
        <v>1736</v>
      </c>
      <c r="G364" s="1" t="s">
        <v>1747</v>
      </c>
    </row>
    <row r="365" spans="1:7" ht="27.6" hidden="1" outlineLevel="1" x14ac:dyDescent="0.25">
      <c r="A365" s="2">
        <v>2</v>
      </c>
      <c r="B365" s="2" t="s">
        <v>1742</v>
      </c>
      <c r="C365" s="5" t="s">
        <v>1744</v>
      </c>
      <c r="D365" s="2">
        <v>1</v>
      </c>
      <c r="E365" s="2"/>
      <c r="F365" s="5" t="s">
        <v>1745</v>
      </c>
      <c r="G365" s="1" t="s">
        <v>1748</v>
      </c>
    </row>
    <row r="366" spans="1:7" hidden="1" outlineLevel="1" x14ac:dyDescent="0.25">
      <c r="A366" s="2">
        <v>3</v>
      </c>
      <c r="B366" s="2" t="s">
        <v>474</v>
      </c>
      <c r="C366" s="2" t="s">
        <v>355</v>
      </c>
      <c r="D366" s="2">
        <v>4</v>
      </c>
      <c r="E366" s="37">
        <v>0.25</v>
      </c>
      <c r="F366" s="2"/>
    </row>
    <row r="367" spans="1:7" ht="27.6" hidden="1" outlineLevel="1" x14ac:dyDescent="0.25">
      <c r="A367" s="2">
        <v>4</v>
      </c>
      <c r="B367" s="2" t="s">
        <v>1737</v>
      </c>
      <c r="C367" s="2" t="s">
        <v>1738</v>
      </c>
      <c r="D367" s="2">
        <v>1</v>
      </c>
      <c r="E367" s="37">
        <v>0.3</v>
      </c>
      <c r="F367" s="5" t="s">
        <v>1739</v>
      </c>
    </row>
    <row r="368" spans="1:7" hidden="1" outlineLevel="1" x14ac:dyDescent="0.25">
      <c r="A368" s="2">
        <v>5</v>
      </c>
      <c r="B368" s="2" t="s">
        <v>1740</v>
      </c>
      <c r="C368" s="2" t="s">
        <v>417</v>
      </c>
      <c r="D368" s="2">
        <v>2</v>
      </c>
      <c r="E368" s="37">
        <v>0.3</v>
      </c>
      <c r="F368" s="2" t="s">
        <v>1743</v>
      </c>
    </row>
    <row r="369" spans="1:6" hidden="1" outlineLevel="1" x14ac:dyDescent="0.25">
      <c r="A369" s="2">
        <v>6</v>
      </c>
      <c r="B369" s="2" t="s">
        <v>1113</v>
      </c>
      <c r="C369" s="2" t="s">
        <v>417</v>
      </c>
      <c r="D369" s="2">
        <v>2</v>
      </c>
      <c r="E369" s="37">
        <v>0.3</v>
      </c>
      <c r="F369" s="2" t="s">
        <v>1746</v>
      </c>
    </row>
    <row r="370" spans="1:6" hidden="1" outlineLevel="1" x14ac:dyDescent="0.25"/>
    <row r="371" spans="1:6" ht="14.4" hidden="1" outlineLevel="1" thickBot="1" x14ac:dyDescent="0.3"/>
    <row r="372" spans="1:6" ht="15" hidden="1" customHeight="1" outlineLevel="1" thickBot="1" x14ac:dyDescent="0.3">
      <c r="A372" s="328" t="s">
        <v>1764</v>
      </c>
      <c r="B372" s="329"/>
      <c r="C372" s="329"/>
      <c r="D372" s="329"/>
      <c r="E372" s="329"/>
      <c r="F372" s="330"/>
    </row>
    <row r="373" spans="1:6" ht="27.6" hidden="1" outlineLevel="1" x14ac:dyDescent="0.25">
      <c r="A373" s="9">
        <v>1</v>
      </c>
      <c r="B373" s="283" t="s">
        <v>1749</v>
      </c>
      <c r="C373" s="51" t="s">
        <v>393</v>
      </c>
      <c r="D373" s="284">
        <v>1</v>
      </c>
      <c r="E373" s="285">
        <v>0.25</v>
      </c>
      <c r="F373" s="33" t="s">
        <v>1750</v>
      </c>
    </row>
    <row r="374" spans="1:6" hidden="1" outlineLevel="1" x14ac:dyDescent="0.25">
      <c r="A374" s="2">
        <v>2</v>
      </c>
      <c r="B374" s="282" t="s">
        <v>112</v>
      </c>
      <c r="C374" s="2" t="s">
        <v>1751</v>
      </c>
      <c r="D374" s="2">
        <v>2</v>
      </c>
      <c r="E374" s="102">
        <v>0.25</v>
      </c>
      <c r="F374" s="2"/>
    </row>
    <row r="375" spans="1:6" hidden="1" outlineLevel="1" x14ac:dyDescent="0.25">
      <c r="A375" s="2">
        <v>3</v>
      </c>
      <c r="B375" s="157" t="s">
        <v>1752</v>
      </c>
      <c r="C375" s="2" t="s">
        <v>1765</v>
      </c>
      <c r="D375" s="160" t="s">
        <v>724</v>
      </c>
      <c r="E375" s="160" t="s">
        <v>1766</v>
      </c>
      <c r="F375" s="2"/>
    </row>
    <row r="376" spans="1:6" hidden="1" outlineLevel="1" x14ac:dyDescent="0.25">
      <c r="A376" s="2">
        <v>4</v>
      </c>
      <c r="B376" s="157" t="s">
        <v>1752</v>
      </c>
      <c r="C376" s="2" t="s">
        <v>1666</v>
      </c>
      <c r="D376" s="160" t="s">
        <v>1027</v>
      </c>
      <c r="E376" s="160" t="s">
        <v>1766</v>
      </c>
      <c r="F376" s="2"/>
    </row>
    <row r="377" spans="1:6" hidden="1" outlineLevel="1" x14ac:dyDescent="0.25">
      <c r="A377" s="2">
        <v>5</v>
      </c>
      <c r="B377" s="157" t="s">
        <v>1752</v>
      </c>
      <c r="C377" s="2" t="s">
        <v>1738</v>
      </c>
      <c r="D377" s="2">
        <v>3</v>
      </c>
      <c r="E377" s="160" t="s">
        <v>1767</v>
      </c>
      <c r="F377" s="2"/>
    </row>
    <row r="378" spans="1:6" hidden="1" outlineLevel="1" x14ac:dyDescent="0.25">
      <c r="A378" s="2">
        <v>6</v>
      </c>
      <c r="B378" s="157" t="s">
        <v>1752</v>
      </c>
      <c r="C378" s="2" t="s">
        <v>426</v>
      </c>
      <c r="D378" s="2">
        <v>3</v>
      </c>
      <c r="E378" s="102">
        <v>0.25</v>
      </c>
      <c r="F378" s="2"/>
    </row>
    <row r="379" spans="1:6" hidden="1" outlineLevel="1" x14ac:dyDescent="0.25">
      <c r="A379" s="2">
        <v>7</v>
      </c>
      <c r="B379" s="157" t="s">
        <v>1752</v>
      </c>
      <c r="C379" s="2" t="s">
        <v>1768</v>
      </c>
      <c r="D379" s="160" t="s">
        <v>1027</v>
      </c>
      <c r="E379" s="102">
        <v>0.25</v>
      </c>
      <c r="F379" s="2"/>
    </row>
    <row r="380" spans="1:6" hidden="1" outlineLevel="1" x14ac:dyDescent="0.25">
      <c r="A380" s="2">
        <v>8</v>
      </c>
      <c r="B380" s="157" t="s">
        <v>1752</v>
      </c>
      <c r="C380" s="2" t="s">
        <v>1769</v>
      </c>
      <c r="D380" s="160" t="s">
        <v>1138</v>
      </c>
      <c r="E380" s="102">
        <v>0.25</v>
      </c>
      <c r="F380" s="2"/>
    </row>
    <row r="381" spans="1:6" hidden="1" outlineLevel="1" x14ac:dyDescent="0.25">
      <c r="A381" s="2">
        <v>9</v>
      </c>
      <c r="B381" s="157" t="s">
        <v>1752</v>
      </c>
      <c r="C381" s="2" t="s">
        <v>1770</v>
      </c>
      <c r="D381" s="160" t="s">
        <v>1138</v>
      </c>
      <c r="E381" s="102" t="s">
        <v>1767</v>
      </c>
      <c r="F381" s="2"/>
    </row>
    <row r="382" spans="1:6" hidden="1" outlineLevel="1" x14ac:dyDescent="0.25">
      <c r="A382" s="2">
        <v>10</v>
      </c>
      <c r="B382" s="157" t="s">
        <v>1752</v>
      </c>
      <c r="C382" s="2" t="s">
        <v>1771</v>
      </c>
      <c r="D382" s="160" t="s">
        <v>1027</v>
      </c>
      <c r="E382" s="102" t="s">
        <v>1767</v>
      </c>
      <c r="F382" s="2"/>
    </row>
    <row r="383" spans="1:6" hidden="1" outlineLevel="1" x14ac:dyDescent="0.25">
      <c r="A383" s="2">
        <v>11</v>
      </c>
      <c r="B383" s="157" t="s">
        <v>1753</v>
      </c>
      <c r="C383" s="2" t="s">
        <v>854</v>
      </c>
      <c r="D383" s="2">
        <v>2</v>
      </c>
      <c r="E383" s="102">
        <v>0.25</v>
      </c>
      <c r="F383" s="2"/>
    </row>
    <row r="384" spans="1:6" hidden="1" outlineLevel="1" x14ac:dyDescent="0.25">
      <c r="A384" s="2">
        <v>12</v>
      </c>
      <c r="B384" s="157" t="s">
        <v>1755</v>
      </c>
      <c r="C384" s="2" t="s">
        <v>1754</v>
      </c>
      <c r="D384" s="2">
        <v>2</v>
      </c>
      <c r="E384" s="102">
        <v>0.3</v>
      </c>
      <c r="F384" s="2" t="s">
        <v>1763</v>
      </c>
    </row>
    <row r="385" spans="1:6" hidden="1" outlineLevel="1" x14ac:dyDescent="0.25">
      <c r="A385" s="2">
        <v>13</v>
      </c>
      <c r="B385" s="157"/>
      <c r="C385" s="2" t="s">
        <v>393</v>
      </c>
      <c r="D385" s="2">
        <v>1</v>
      </c>
      <c r="E385" s="102">
        <v>0.3</v>
      </c>
      <c r="F385" s="2" t="s">
        <v>1763</v>
      </c>
    </row>
    <row r="386" spans="1:6" hidden="1" outlineLevel="1" x14ac:dyDescent="0.25"/>
    <row r="387" spans="1:6" hidden="1" outlineLevel="1" x14ac:dyDescent="0.25">
      <c r="B387" s="362" t="s">
        <v>1758</v>
      </c>
      <c r="C387" s="362"/>
      <c r="D387" s="362"/>
      <c r="E387" s="362"/>
      <c r="F387" s="362"/>
    </row>
    <row r="388" spans="1:6" hidden="1" outlineLevel="1" x14ac:dyDescent="0.25">
      <c r="B388" s="1" t="s">
        <v>1725</v>
      </c>
    </row>
    <row r="389" spans="1:6" hidden="1" outlineLevel="1" x14ac:dyDescent="0.25">
      <c r="B389" s="1" t="s">
        <v>1759</v>
      </c>
      <c r="C389" s="281" t="s">
        <v>1761</v>
      </c>
      <c r="D389" s="1" t="s">
        <v>1727</v>
      </c>
      <c r="E389" s="1" t="s">
        <v>1756</v>
      </c>
    </row>
    <row r="390" spans="1:6" hidden="1" outlineLevel="1" x14ac:dyDescent="0.25">
      <c r="B390" s="94">
        <v>978000</v>
      </c>
      <c r="C390" s="281" t="s">
        <v>1760</v>
      </c>
      <c r="D390" s="1" t="s">
        <v>1762</v>
      </c>
      <c r="E390" s="1" t="s">
        <v>1757</v>
      </c>
    </row>
    <row r="391" spans="1:6" collapsed="1" x14ac:dyDescent="0.25"/>
    <row r="392" spans="1:6" ht="14.4" hidden="1" outlineLevel="1" thickBot="1" x14ac:dyDescent="0.3"/>
    <row r="393" spans="1:6" hidden="1" outlineLevel="1" x14ac:dyDescent="0.25">
      <c r="A393" s="325" t="s">
        <v>1764</v>
      </c>
      <c r="B393" s="326"/>
      <c r="C393" s="326"/>
      <c r="D393" s="326"/>
      <c r="E393" s="326"/>
      <c r="F393" s="327"/>
    </row>
    <row r="394" spans="1:6" ht="41.4" hidden="1" outlineLevel="1" x14ac:dyDescent="0.25">
      <c r="A394" s="2">
        <v>1</v>
      </c>
      <c r="B394" s="5" t="s">
        <v>1774</v>
      </c>
      <c r="C394" s="2" t="s">
        <v>1321</v>
      </c>
      <c r="D394" s="2">
        <v>1</v>
      </c>
      <c r="E394" s="115">
        <v>0.27500000000000002</v>
      </c>
      <c r="F394" s="2" t="s">
        <v>1773</v>
      </c>
    </row>
    <row r="395" spans="1:6" hidden="1" outlineLevel="1" x14ac:dyDescent="0.25">
      <c r="A395" s="2">
        <v>2</v>
      </c>
      <c r="B395" s="2" t="s">
        <v>1113</v>
      </c>
      <c r="C395" s="2" t="s">
        <v>1775</v>
      </c>
      <c r="D395" s="2">
        <v>1</v>
      </c>
      <c r="E395" s="115">
        <v>0.27500000000000002</v>
      </c>
      <c r="F395" s="2" t="s">
        <v>1776</v>
      </c>
    </row>
    <row r="396" spans="1:6" hidden="1" outlineLevel="1" x14ac:dyDescent="0.25">
      <c r="A396" s="2">
        <v>3</v>
      </c>
      <c r="B396" s="2" t="s">
        <v>1777</v>
      </c>
      <c r="C396" s="2" t="s">
        <v>417</v>
      </c>
      <c r="D396" s="2">
        <v>2</v>
      </c>
      <c r="E396" s="37">
        <v>0.3</v>
      </c>
      <c r="F396" s="2" t="s">
        <v>1778</v>
      </c>
    </row>
    <row r="397" spans="1:6" hidden="1" outlineLevel="1" x14ac:dyDescent="0.25">
      <c r="A397" s="2">
        <v>4</v>
      </c>
      <c r="B397" s="2" t="s">
        <v>1788</v>
      </c>
      <c r="C397" s="2" t="s">
        <v>417</v>
      </c>
      <c r="D397" s="2">
        <v>1</v>
      </c>
      <c r="E397" s="2"/>
      <c r="F397" s="2"/>
    </row>
    <row r="398" spans="1:6" hidden="1" outlineLevel="1" x14ac:dyDescent="0.25">
      <c r="A398" s="2">
        <v>5</v>
      </c>
      <c r="B398" s="2" t="s">
        <v>1779</v>
      </c>
      <c r="C398" s="2" t="s">
        <v>1780</v>
      </c>
      <c r="D398" s="2">
        <v>1</v>
      </c>
      <c r="E398" s="2"/>
      <c r="F398" s="2" t="s">
        <v>1782</v>
      </c>
    </row>
    <row r="399" spans="1:6" hidden="1" outlineLevel="1" x14ac:dyDescent="0.25">
      <c r="A399" s="2">
        <v>6</v>
      </c>
      <c r="B399" s="2" t="s">
        <v>1779</v>
      </c>
      <c r="C399" s="2" t="s">
        <v>1781</v>
      </c>
      <c r="D399" s="2">
        <v>1</v>
      </c>
      <c r="E399" s="2"/>
      <c r="F399" s="2" t="s">
        <v>1782</v>
      </c>
    </row>
    <row r="400" spans="1:6" hidden="1" outlineLevel="1" x14ac:dyDescent="0.25">
      <c r="A400" s="2">
        <v>7</v>
      </c>
      <c r="B400" s="2" t="s">
        <v>1783</v>
      </c>
      <c r="C400" s="2" t="s">
        <v>441</v>
      </c>
      <c r="D400" s="2">
        <v>2</v>
      </c>
      <c r="E400" s="2"/>
      <c r="F400" s="2"/>
    </row>
    <row r="401" spans="1:6" hidden="1" outlineLevel="1" x14ac:dyDescent="0.25">
      <c r="A401" s="2">
        <v>8</v>
      </c>
      <c r="B401" s="2" t="s">
        <v>1787</v>
      </c>
      <c r="C401" s="2" t="s">
        <v>1786</v>
      </c>
      <c r="D401" s="2"/>
      <c r="E401" s="2"/>
      <c r="F401" s="2" t="s">
        <v>1518</v>
      </c>
    </row>
    <row r="402" spans="1:6" ht="27.6" hidden="1" outlineLevel="1" x14ac:dyDescent="0.25">
      <c r="A402" s="2">
        <v>9</v>
      </c>
      <c r="B402" s="2" t="s">
        <v>1789</v>
      </c>
      <c r="C402" s="5" t="s">
        <v>1790</v>
      </c>
      <c r="D402" s="2" t="s">
        <v>724</v>
      </c>
      <c r="E402" s="5" t="s">
        <v>1791</v>
      </c>
      <c r="F402" s="2" t="s">
        <v>1792</v>
      </c>
    </row>
    <row r="403" spans="1:6" hidden="1" outlineLevel="1" x14ac:dyDescent="0.25"/>
    <row r="404" spans="1:6" ht="14.4" hidden="1" outlineLevel="1" thickBot="1" x14ac:dyDescent="0.3">
      <c r="B404" s="1" t="s">
        <v>95</v>
      </c>
    </row>
    <row r="405" spans="1:6" hidden="1" outlineLevel="1" x14ac:dyDescent="0.25">
      <c r="A405" s="325" t="s">
        <v>1793</v>
      </c>
      <c r="B405" s="326"/>
      <c r="C405" s="326"/>
      <c r="D405" s="326"/>
      <c r="E405" s="326"/>
      <c r="F405" s="327"/>
    </row>
    <row r="406" spans="1:6" ht="27.6" hidden="1" outlineLevel="1" x14ac:dyDescent="0.25">
      <c r="A406" s="2">
        <v>1</v>
      </c>
      <c r="B406" s="2" t="s">
        <v>1794</v>
      </c>
      <c r="C406" s="2" t="s">
        <v>1795</v>
      </c>
      <c r="D406" s="2" t="s">
        <v>724</v>
      </c>
      <c r="E406" s="5" t="s">
        <v>1796</v>
      </c>
      <c r="F406" s="5" t="s">
        <v>1797</v>
      </c>
    </row>
    <row r="407" spans="1:6" hidden="1" outlineLevel="1" x14ac:dyDescent="0.25">
      <c r="A407" s="2">
        <v>2</v>
      </c>
      <c r="B407" s="2" t="s">
        <v>1798</v>
      </c>
      <c r="C407" s="2" t="s">
        <v>1799</v>
      </c>
      <c r="D407" s="2">
        <v>2</v>
      </c>
      <c r="E407" s="2" t="s">
        <v>152</v>
      </c>
      <c r="F407" s="2" t="s">
        <v>1800</v>
      </c>
    </row>
    <row r="408" spans="1:6" hidden="1" outlineLevel="1" x14ac:dyDescent="0.25">
      <c r="A408" s="2">
        <v>3</v>
      </c>
      <c r="B408" s="2" t="s">
        <v>1801</v>
      </c>
      <c r="C408" s="2" t="s">
        <v>451</v>
      </c>
      <c r="D408" s="2">
        <v>2</v>
      </c>
      <c r="E408" s="37">
        <v>0.25</v>
      </c>
      <c r="F408" s="2" t="s">
        <v>1802</v>
      </c>
    </row>
    <row r="409" spans="1:6" hidden="1" outlineLevel="1" x14ac:dyDescent="0.25">
      <c r="A409" s="2">
        <v>4</v>
      </c>
      <c r="B409" s="2" t="s">
        <v>1803</v>
      </c>
      <c r="C409" s="2" t="s">
        <v>1804</v>
      </c>
      <c r="D409" s="2" t="s">
        <v>943</v>
      </c>
      <c r="E409" s="37">
        <v>0.25</v>
      </c>
      <c r="F409" s="2"/>
    </row>
    <row r="410" spans="1:6" hidden="1" outlineLevel="1" x14ac:dyDescent="0.25">
      <c r="A410" s="2"/>
      <c r="B410" s="2"/>
      <c r="C410" s="2" t="s">
        <v>1805</v>
      </c>
      <c r="D410" s="2" t="s">
        <v>1806</v>
      </c>
      <c r="E410" s="2"/>
      <c r="F410" s="2" t="s">
        <v>1807</v>
      </c>
    </row>
    <row r="411" spans="1:6" hidden="1" outlineLevel="1" x14ac:dyDescent="0.25">
      <c r="A411" s="2">
        <v>5</v>
      </c>
      <c r="B411" s="2" t="s">
        <v>1808</v>
      </c>
      <c r="C411" s="2" t="s">
        <v>1814</v>
      </c>
      <c r="D411" s="2" t="s">
        <v>724</v>
      </c>
      <c r="E411" s="37">
        <v>0.3</v>
      </c>
      <c r="F411" s="2"/>
    </row>
    <row r="412" spans="1:6" hidden="1" outlineLevel="1" x14ac:dyDescent="0.25">
      <c r="A412" s="2">
        <v>6</v>
      </c>
      <c r="B412" s="2" t="s">
        <v>1809</v>
      </c>
      <c r="C412" s="2" t="s">
        <v>1804</v>
      </c>
      <c r="D412" s="2" t="s">
        <v>943</v>
      </c>
      <c r="E412" s="2"/>
      <c r="F412" s="2"/>
    </row>
    <row r="413" spans="1:6" hidden="1" outlineLevel="1" x14ac:dyDescent="0.25">
      <c r="A413" s="2">
        <v>7</v>
      </c>
      <c r="B413" s="2" t="s">
        <v>1809</v>
      </c>
      <c r="C413" s="2" t="s">
        <v>1810</v>
      </c>
      <c r="D413" s="2" t="s">
        <v>943</v>
      </c>
      <c r="E413" s="2"/>
      <c r="F413" s="2"/>
    </row>
    <row r="414" spans="1:6" hidden="1" outlineLevel="1" x14ac:dyDescent="0.25">
      <c r="A414" s="2">
        <v>8</v>
      </c>
      <c r="B414" s="2" t="s">
        <v>1811</v>
      </c>
      <c r="C414" s="2" t="s">
        <v>1812</v>
      </c>
      <c r="D414" s="2" t="s">
        <v>724</v>
      </c>
      <c r="E414" s="343" t="s">
        <v>1813</v>
      </c>
      <c r="F414" s="343"/>
    </row>
    <row r="415" spans="1:6" hidden="1" outlineLevel="1" x14ac:dyDescent="0.25">
      <c r="A415" s="2">
        <v>9</v>
      </c>
      <c r="B415" s="2" t="s">
        <v>1816</v>
      </c>
      <c r="C415" s="2" t="s">
        <v>923</v>
      </c>
      <c r="D415" s="2">
        <v>2</v>
      </c>
      <c r="E415" s="37">
        <v>0.25</v>
      </c>
      <c r="F415" s="2" t="s">
        <v>1817</v>
      </c>
    </row>
    <row r="416" spans="1:6" hidden="1" outlineLevel="1" x14ac:dyDescent="0.25"/>
    <row r="417" spans="1:6" hidden="1" outlineLevel="1" x14ac:dyDescent="0.25">
      <c r="B417" s="1" t="s">
        <v>602</v>
      </c>
    </row>
    <row r="418" spans="1:6" hidden="1" outlineLevel="1" x14ac:dyDescent="0.25">
      <c r="B418" s="1" t="s">
        <v>1868</v>
      </c>
      <c r="C418" s="281" t="s">
        <v>1815</v>
      </c>
      <c r="D418" s="1" t="s">
        <v>1757</v>
      </c>
    </row>
    <row r="419" spans="1:6" collapsed="1" x14ac:dyDescent="0.25">
      <c r="B419" s="94"/>
      <c r="C419" s="281"/>
    </row>
    <row r="420" spans="1:6" hidden="1" outlineLevel="1" x14ac:dyDescent="0.25">
      <c r="A420" s="325" t="s">
        <v>1818</v>
      </c>
      <c r="B420" s="326"/>
      <c r="C420" s="326"/>
      <c r="D420" s="326"/>
      <c r="E420" s="326"/>
      <c r="F420" s="327"/>
    </row>
    <row r="421" spans="1:6" ht="41.4" hidden="1" outlineLevel="1" x14ac:dyDescent="0.25">
      <c r="A421" s="2">
        <v>1</v>
      </c>
      <c r="B421" s="5" t="s">
        <v>1820</v>
      </c>
      <c r="C421" s="5" t="s">
        <v>1821</v>
      </c>
      <c r="D421" s="2" t="s">
        <v>1822</v>
      </c>
      <c r="E421" s="37">
        <v>0.3</v>
      </c>
      <c r="F421" s="2"/>
    </row>
    <row r="422" spans="1:6" ht="27.6" hidden="1" outlineLevel="1" x14ac:dyDescent="0.25">
      <c r="A422" s="2">
        <v>2</v>
      </c>
      <c r="B422" s="5" t="s">
        <v>1820</v>
      </c>
      <c r="C422" s="2" t="s">
        <v>360</v>
      </c>
      <c r="D422" s="2">
        <v>2</v>
      </c>
      <c r="E422" s="37">
        <v>0.3</v>
      </c>
      <c r="F422" s="2"/>
    </row>
    <row r="423" spans="1:6" ht="41.4" hidden="1" outlineLevel="1" x14ac:dyDescent="0.25">
      <c r="A423" s="2">
        <v>3</v>
      </c>
      <c r="B423" s="5" t="s">
        <v>1823</v>
      </c>
      <c r="C423" s="5" t="s">
        <v>1824</v>
      </c>
      <c r="D423" s="2" t="s">
        <v>1019</v>
      </c>
      <c r="E423" s="37">
        <v>0.25</v>
      </c>
      <c r="F423" s="2"/>
    </row>
    <row r="424" spans="1:6" hidden="1" outlineLevel="1" x14ac:dyDescent="0.25">
      <c r="A424" s="2">
        <v>4</v>
      </c>
      <c r="B424" s="5" t="s">
        <v>1145</v>
      </c>
      <c r="C424" s="2" t="s">
        <v>1825</v>
      </c>
      <c r="D424" s="2" t="s">
        <v>1027</v>
      </c>
      <c r="E424" s="37">
        <v>0.25</v>
      </c>
      <c r="F424" s="2"/>
    </row>
    <row r="425" spans="1:6" ht="27.6" hidden="1" outlineLevel="1" x14ac:dyDescent="0.25">
      <c r="A425" s="2">
        <v>5</v>
      </c>
      <c r="B425" s="5" t="s">
        <v>1826</v>
      </c>
      <c r="C425" s="2" t="s">
        <v>1827</v>
      </c>
      <c r="D425" s="2">
        <v>1</v>
      </c>
      <c r="E425" s="2" t="s">
        <v>1828</v>
      </c>
      <c r="F425" s="2" t="s">
        <v>1108</v>
      </c>
    </row>
    <row r="426" spans="1:6" hidden="1" outlineLevel="1" x14ac:dyDescent="0.25">
      <c r="A426" s="2">
        <v>6</v>
      </c>
      <c r="B426" s="5" t="s">
        <v>1829</v>
      </c>
      <c r="C426" s="2" t="s">
        <v>854</v>
      </c>
      <c r="D426" s="2">
        <v>1</v>
      </c>
      <c r="E426" s="102">
        <v>0.3</v>
      </c>
      <c r="F426" s="2" t="s">
        <v>1833</v>
      </c>
    </row>
    <row r="427" spans="1:6" ht="41.4" hidden="1" outlineLevel="1" x14ac:dyDescent="0.25">
      <c r="A427" s="2">
        <v>7</v>
      </c>
      <c r="B427" s="5" t="s">
        <v>1829</v>
      </c>
      <c r="C427" s="2" t="s">
        <v>1830</v>
      </c>
      <c r="D427" s="2" t="s">
        <v>724</v>
      </c>
      <c r="E427" s="160" t="s">
        <v>1831</v>
      </c>
      <c r="F427" s="5" t="s">
        <v>1832</v>
      </c>
    </row>
    <row r="428" spans="1:6" hidden="1" outlineLevel="1" x14ac:dyDescent="0.25">
      <c r="A428" s="2">
        <v>8</v>
      </c>
      <c r="B428" s="5" t="s">
        <v>1834</v>
      </c>
      <c r="C428" s="2" t="s">
        <v>1835</v>
      </c>
      <c r="D428" s="2">
        <v>1</v>
      </c>
      <c r="E428" s="37">
        <v>0.3</v>
      </c>
      <c r="F428" s="2" t="s">
        <v>1846</v>
      </c>
    </row>
    <row r="429" spans="1:6" ht="27.6" hidden="1" outlineLevel="1" x14ac:dyDescent="0.25">
      <c r="A429" s="2">
        <v>9</v>
      </c>
      <c r="B429" s="5" t="s">
        <v>1836</v>
      </c>
      <c r="C429" s="2" t="s">
        <v>1837</v>
      </c>
      <c r="D429" s="2">
        <v>1</v>
      </c>
      <c r="E429" s="2"/>
      <c r="F429" s="2" t="s">
        <v>1838</v>
      </c>
    </row>
    <row r="430" spans="1:6" ht="55.2" hidden="1" outlineLevel="1" x14ac:dyDescent="0.25">
      <c r="A430" s="2">
        <v>10</v>
      </c>
      <c r="B430" s="5" t="s">
        <v>1840</v>
      </c>
      <c r="C430" s="2" t="s">
        <v>1839</v>
      </c>
      <c r="D430" s="2">
        <v>1</v>
      </c>
      <c r="E430" s="2"/>
      <c r="F430" s="2"/>
    </row>
    <row r="431" spans="1:6" hidden="1" outlineLevel="1" x14ac:dyDescent="0.25">
      <c r="A431" s="2">
        <v>11</v>
      </c>
      <c r="B431" s="2" t="s">
        <v>1843</v>
      </c>
      <c r="C431" s="2" t="s">
        <v>520</v>
      </c>
      <c r="D431" s="2">
        <v>2</v>
      </c>
      <c r="E431" s="2" t="s">
        <v>152</v>
      </c>
      <c r="F431" s="2" t="s">
        <v>689</v>
      </c>
    </row>
    <row r="432" spans="1:6" hidden="1" outlineLevel="1" x14ac:dyDescent="0.25"/>
    <row r="433" spans="1:6" hidden="1" outlineLevel="1" x14ac:dyDescent="0.25"/>
    <row r="434" spans="1:6" hidden="1" outlineLevel="1" x14ac:dyDescent="0.25"/>
    <row r="435" spans="1:6" hidden="1" outlineLevel="1" x14ac:dyDescent="0.25">
      <c r="B435" s="1" t="s">
        <v>1845</v>
      </c>
      <c r="C435" s="1" t="s">
        <v>1841</v>
      </c>
    </row>
    <row r="436" spans="1:6" hidden="1" outlineLevel="1" x14ac:dyDescent="0.25">
      <c r="B436" s="1" t="s">
        <v>602</v>
      </c>
    </row>
    <row r="437" spans="1:6" hidden="1" outlineLevel="1" x14ac:dyDescent="0.25">
      <c r="B437" s="1" t="s">
        <v>1844</v>
      </c>
      <c r="C437" s="281" t="s">
        <v>1815</v>
      </c>
      <c r="D437" s="1" t="s">
        <v>1819</v>
      </c>
      <c r="E437" s="1" t="s">
        <v>1842</v>
      </c>
    </row>
    <row r="438" spans="1:6" collapsed="1" x14ac:dyDescent="0.25"/>
    <row r="440" spans="1:6" ht="14.4" hidden="1" outlineLevel="1" thickBot="1" x14ac:dyDescent="0.3">
      <c r="A440" s="328" t="s">
        <v>1847</v>
      </c>
      <c r="B440" s="329"/>
      <c r="C440" s="329"/>
      <c r="D440" s="329"/>
      <c r="E440" s="329"/>
      <c r="F440" s="330"/>
    </row>
    <row r="441" spans="1:6" hidden="1" outlineLevel="1" x14ac:dyDescent="0.25">
      <c r="A441" s="9">
        <v>1</v>
      </c>
      <c r="B441" s="33" t="s">
        <v>1848</v>
      </c>
      <c r="C441" s="9" t="s">
        <v>360</v>
      </c>
      <c r="D441" s="9">
        <v>1</v>
      </c>
      <c r="E441" s="40">
        <v>0.25</v>
      </c>
      <c r="F441" s="9"/>
    </row>
    <row r="442" spans="1:6" hidden="1" outlineLevel="1" x14ac:dyDescent="0.25">
      <c r="A442" s="2">
        <v>2</v>
      </c>
      <c r="B442" s="2" t="s">
        <v>1849</v>
      </c>
      <c r="C442" s="2" t="s">
        <v>230</v>
      </c>
      <c r="D442" s="2">
        <v>2</v>
      </c>
      <c r="E442" s="37">
        <v>0.3</v>
      </c>
      <c r="F442" s="2"/>
    </row>
    <row r="443" spans="1:6" hidden="1" outlineLevel="1" x14ac:dyDescent="0.25">
      <c r="A443" s="2">
        <v>3</v>
      </c>
      <c r="B443" s="2" t="s">
        <v>1850</v>
      </c>
      <c r="C443" s="2" t="s">
        <v>426</v>
      </c>
      <c r="D443" s="2">
        <v>1</v>
      </c>
      <c r="E443" s="37">
        <v>0.3</v>
      </c>
      <c r="F443" s="2"/>
    </row>
    <row r="444" spans="1:6" hidden="1" outlineLevel="1" x14ac:dyDescent="0.25">
      <c r="A444" s="28">
        <v>4</v>
      </c>
      <c r="B444" s="2" t="s">
        <v>1855</v>
      </c>
      <c r="C444" s="2" t="s">
        <v>1856</v>
      </c>
      <c r="D444" s="2"/>
      <c r="E444" s="37"/>
      <c r="F444" s="2"/>
    </row>
    <row r="445" spans="1:6" hidden="1" outlineLevel="1" x14ac:dyDescent="0.25">
      <c r="A445" s="28">
        <v>5</v>
      </c>
      <c r="B445" s="2" t="s">
        <v>1857</v>
      </c>
      <c r="C445" s="2" t="s">
        <v>393</v>
      </c>
      <c r="D445" s="2">
        <v>2</v>
      </c>
      <c r="E445" s="37">
        <v>0.3</v>
      </c>
      <c r="F445" s="2"/>
    </row>
    <row r="446" spans="1:6" hidden="1" outlineLevel="1" x14ac:dyDescent="0.25">
      <c r="B446" s="287" t="s">
        <v>1853</v>
      </c>
      <c r="C446" s="287" t="s">
        <v>232</v>
      </c>
      <c r="D446" s="287">
        <v>1</v>
      </c>
      <c r="E446" s="287"/>
      <c r="F446" s="288">
        <v>45863</v>
      </c>
    </row>
    <row r="447" spans="1:6" hidden="1" outlineLevel="1" x14ac:dyDescent="0.25">
      <c r="B447" s="287" t="s">
        <v>1854</v>
      </c>
      <c r="C447" s="287" t="s">
        <v>360</v>
      </c>
      <c r="D447" s="287">
        <v>2</v>
      </c>
      <c r="E447" s="287"/>
      <c r="F447" s="287" t="s">
        <v>1858</v>
      </c>
    </row>
    <row r="448" spans="1:6" hidden="1" outlineLevel="1" x14ac:dyDescent="0.25">
      <c r="B448" s="287" t="s">
        <v>1779</v>
      </c>
      <c r="C448" s="287" t="s">
        <v>840</v>
      </c>
      <c r="D448" s="287">
        <v>1</v>
      </c>
      <c r="E448" s="287"/>
      <c r="F448" s="287" t="s">
        <v>1859</v>
      </c>
    </row>
    <row r="449" spans="1:6" hidden="1" outlineLevel="1" x14ac:dyDescent="0.25"/>
    <row r="450" spans="1:6" hidden="1" outlineLevel="1" x14ac:dyDescent="0.25"/>
    <row r="451" spans="1:6" hidden="1" outlineLevel="1" x14ac:dyDescent="0.25">
      <c r="B451" s="1" t="s">
        <v>1845</v>
      </c>
      <c r="C451" s="1" t="s">
        <v>1850</v>
      </c>
    </row>
    <row r="452" spans="1:6" hidden="1" outlineLevel="1" x14ac:dyDescent="0.25">
      <c r="B452" s="1" t="s">
        <v>602</v>
      </c>
    </row>
    <row r="453" spans="1:6" hidden="1" outlineLevel="1" x14ac:dyDescent="0.25">
      <c r="B453" s="1" t="s">
        <v>1851</v>
      </c>
      <c r="C453" s="365" t="s">
        <v>1852</v>
      </c>
      <c r="D453" s="365"/>
      <c r="E453" s="1" t="s">
        <v>1842</v>
      </c>
    </row>
    <row r="454" spans="1:6" collapsed="1" x14ac:dyDescent="0.25"/>
    <row r="455" spans="1:6" ht="14.4" hidden="1" outlineLevel="1" thickBot="1" x14ac:dyDescent="0.3"/>
    <row r="456" spans="1:6" ht="14.4" hidden="1" outlineLevel="1" thickBot="1" x14ac:dyDescent="0.3">
      <c r="A456" s="328" t="s">
        <v>1863</v>
      </c>
      <c r="B456" s="329"/>
      <c r="C456" s="329"/>
      <c r="D456" s="329"/>
      <c r="E456" s="329"/>
      <c r="F456" s="330"/>
    </row>
    <row r="457" spans="1:6" hidden="1" outlineLevel="1" x14ac:dyDescent="0.25">
      <c r="A457" s="9"/>
      <c r="B457" s="9" t="s">
        <v>1864</v>
      </c>
      <c r="C457" s="9" t="s">
        <v>417</v>
      </c>
      <c r="D457" s="9">
        <v>1</v>
      </c>
      <c r="E457" s="40">
        <v>0.3</v>
      </c>
      <c r="F457" s="9"/>
    </row>
    <row r="458" spans="1:6" hidden="1" outlineLevel="1" x14ac:dyDescent="0.25">
      <c r="A458" s="2"/>
      <c r="B458" s="2" t="s">
        <v>474</v>
      </c>
      <c r="C458" s="2" t="s">
        <v>475</v>
      </c>
      <c r="D458" s="2">
        <v>2</v>
      </c>
      <c r="E458" s="37">
        <v>0.3</v>
      </c>
      <c r="F458" s="2"/>
    </row>
    <row r="459" spans="1:6" hidden="1" outlineLevel="1" x14ac:dyDescent="0.25">
      <c r="A459" s="2"/>
      <c r="B459" s="2" t="s">
        <v>1865</v>
      </c>
      <c r="C459" s="2" t="s">
        <v>393</v>
      </c>
      <c r="D459" s="2">
        <v>1</v>
      </c>
      <c r="E459" s="115">
        <v>0.3</v>
      </c>
      <c r="F459" s="2"/>
    </row>
    <row r="460" spans="1:6" hidden="1" outlineLevel="1" x14ac:dyDescent="0.25">
      <c r="A460" s="2"/>
      <c r="B460" s="2" t="s">
        <v>1869</v>
      </c>
      <c r="C460" s="2" t="s">
        <v>1870</v>
      </c>
      <c r="D460" s="2">
        <v>1</v>
      </c>
      <c r="E460" s="37">
        <v>0.3</v>
      </c>
      <c r="F460" s="2"/>
    </row>
    <row r="461" spans="1:6" hidden="1" outlineLevel="1" x14ac:dyDescent="0.25">
      <c r="A461" s="2"/>
      <c r="B461" s="2" t="s">
        <v>1871</v>
      </c>
      <c r="C461" s="2" t="s">
        <v>1872</v>
      </c>
      <c r="D461" s="2">
        <v>2</v>
      </c>
      <c r="E461" s="37">
        <v>0.3</v>
      </c>
      <c r="F461" s="2"/>
    </row>
    <row r="462" spans="1:6" hidden="1" outlineLevel="1" x14ac:dyDescent="0.25"/>
    <row r="463" spans="1:6" hidden="1" outlineLevel="1" x14ac:dyDescent="0.25"/>
    <row r="464" spans="1:6" hidden="1" outlineLevel="1" x14ac:dyDescent="0.25">
      <c r="B464" s="1" t="s">
        <v>1845</v>
      </c>
      <c r="C464" s="1">
        <v>2</v>
      </c>
      <c r="D464" s="1" t="s">
        <v>1866</v>
      </c>
    </row>
    <row r="465" spans="1:6" hidden="1" outlineLevel="1" x14ac:dyDescent="0.25">
      <c r="B465" s="1" t="s">
        <v>1873</v>
      </c>
    </row>
    <row r="466" spans="1:6" hidden="1" outlineLevel="1" x14ac:dyDescent="0.25">
      <c r="B466" s="1" t="s">
        <v>1867</v>
      </c>
      <c r="C466" s="364">
        <v>1609500</v>
      </c>
      <c r="D466" s="364"/>
      <c r="F466" s="289">
        <f>C466+359200</f>
        <v>1968700</v>
      </c>
    </row>
    <row r="467" spans="1:6" collapsed="1" x14ac:dyDescent="0.25"/>
    <row r="468" spans="1:6" ht="14.4" hidden="1" outlineLevel="1" thickBot="1" x14ac:dyDescent="0.3"/>
    <row r="469" spans="1:6" ht="14.4" hidden="1" outlineLevel="1" thickBot="1" x14ac:dyDescent="0.3">
      <c r="A469" s="328" t="s">
        <v>1878</v>
      </c>
      <c r="B469" s="329"/>
      <c r="C469" s="329"/>
      <c r="D469" s="329"/>
      <c r="E469" s="329"/>
      <c r="F469" s="330"/>
    </row>
    <row r="470" spans="1:6" hidden="1" outlineLevel="1" x14ac:dyDescent="0.25">
      <c r="A470" s="9">
        <v>1</v>
      </c>
      <c r="B470" s="9" t="s">
        <v>1879</v>
      </c>
      <c r="C470" s="9" t="s">
        <v>1880</v>
      </c>
      <c r="D470" s="290" t="s">
        <v>1881</v>
      </c>
      <c r="E470" s="40">
        <v>0.3</v>
      </c>
      <c r="F470" s="9"/>
    </row>
    <row r="471" spans="1:6" hidden="1" outlineLevel="1" x14ac:dyDescent="0.25">
      <c r="A471" s="2">
        <v>2</v>
      </c>
      <c r="B471" s="2" t="s">
        <v>1882</v>
      </c>
      <c r="C471" s="2" t="s">
        <v>1883</v>
      </c>
      <c r="D471" s="2">
        <v>1</v>
      </c>
      <c r="E471" s="2"/>
      <c r="F471" s="2" t="s">
        <v>1891</v>
      </c>
    </row>
    <row r="472" spans="1:6" hidden="1" outlineLevel="1" x14ac:dyDescent="0.25">
      <c r="A472" s="2">
        <v>3</v>
      </c>
      <c r="B472" s="2" t="s">
        <v>1884</v>
      </c>
      <c r="C472" s="2" t="s">
        <v>393</v>
      </c>
      <c r="D472" s="2"/>
      <c r="E472" s="2"/>
      <c r="F472" s="2"/>
    </row>
    <row r="473" spans="1:6" hidden="1" outlineLevel="1" x14ac:dyDescent="0.25">
      <c r="A473" s="2">
        <v>4</v>
      </c>
      <c r="B473" s="2" t="s">
        <v>1885</v>
      </c>
      <c r="C473" s="156" t="s">
        <v>1018</v>
      </c>
      <c r="D473" s="2" t="s">
        <v>1427</v>
      </c>
      <c r="E473" s="115">
        <v>0.27500000000000002</v>
      </c>
      <c r="F473" s="2"/>
    </row>
    <row r="474" spans="1:6" hidden="1" outlineLevel="1" x14ac:dyDescent="0.25">
      <c r="A474" s="2">
        <v>5</v>
      </c>
      <c r="B474" s="2" t="s">
        <v>1113</v>
      </c>
      <c r="C474" s="2" t="s">
        <v>230</v>
      </c>
      <c r="D474" s="2">
        <v>2</v>
      </c>
      <c r="E474" s="2"/>
      <c r="F474" s="2" t="s">
        <v>1887</v>
      </c>
    </row>
    <row r="475" spans="1:6" hidden="1" outlineLevel="1" x14ac:dyDescent="0.25">
      <c r="A475" s="2">
        <v>6</v>
      </c>
      <c r="B475" s="2" t="s">
        <v>1886</v>
      </c>
      <c r="C475" s="2" t="s">
        <v>230</v>
      </c>
      <c r="D475" s="2">
        <v>2</v>
      </c>
      <c r="E475" s="2"/>
      <c r="F475" s="2" t="s">
        <v>1887</v>
      </c>
    </row>
    <row r="476" spans="1:6" hidden="1" outlineLevel="1" x14ac:dyDescent="0.25">
      <c r="A476" s="2">
        <v>7</v>
      </c>
      <c r="B476" s="2" t="s">
        <v>1888</v>
      </c>
      <c r="C476" s="2" t="s">
        <v>1889</v>
      </c>
      <c r="D476" s="2" t="s">
        <v>1890</v>
      </c>
      <c r="E476" s="2"/>
      <c r="F476" s="2"/>
    </row>
    <row r="477" spans="1:6" hidden="1" outlineLevel="1" x14ac:dyDescent="0.25"/>
    <row r="478" spans="1:6" collapsed="1" x14ac:dyDescent="0.25"/>
    <row r="479" spans="1:6" ht="14.4" hidden="1" outlineLevel="1" thickBot="1" x14ac:dyDescent="0.3">
      <c r="A479" s="328" t="s">
        <v>1902</v>
      </c>
      <c r="B479" s="329"/>
      <c r="C479" s="329"/>
      <c r="D479" s="329"/>
      <c r="E479" s="329"/>
      <c r="F479" s="330"/>
    </row>
    <row r="480" spans="1:6" hidden="1" outlineLevel="1" x14ac:dyDescent="0.25">
      <c r="A480" s="9">
        <v>1</v>
      </c>
      <c r="B480" s="9" t="s">
        <v>1903</v>
      </c>
      <c r="C480" s="9" t="s">
        <v>426</v>
      </c>
      <c r="D480" s="9">
        <v>1</v>
      </c>
      <c r="E480" s="292">
        <v>0.27500000000000002</v>
      </c>
      <c r="F480" s="9"/>
    </row>
    <row r="481" spans="1:6" hidden="1" outlineLevel="1" x14ac:dyDescent="0.25">
      <c r="A481" s="2">
        <v>2</v>
      </c>
      <c r="B481" s="2" t="s">
        <v>1904</v>
      </c>
      <c r="C481" s="2" t="s">
        <v>1905</v>
      </c>
      <c r="D481" s="2">
        <v>2</v>
      </c>
      <c r="E481" s="37">
        <v>0.3</v>
      </c>
      <c r="F481" s="2" t="s">
        <v>1906</v>
      </c>
    </row>
    <row r="482" spans="1:6" ht="27.6" hidden="1" outlineLevel="1" x14ac:dyDescent="0.25">
      <c r="A482" s="2">
        <v>3</v>
      </c>
      <c r="B482" s="5" t="s">
        <v>1908</v>
      </c>
      <c r="C482" s="2" t="s">
        <v>1907</v>
      </c>
      <c r="D482" s="2">
        <v>2</v>
      </c>
      <c r="E482" s="2"/>
      <c r="F482" s="5" t="s">
        <v>1909</v>
      </c>
    </row>
    <row r="483" spans="1:6" ht="27.6" hidden="1" outlineLevel="1" x14ac:dyDescent="0.25">
      <c r="A483" s="2">
        <v>4</v>
      </c>
      <c r="B483" s="2" t="s">
        <v>1916</v>
      </c>
      <c r="C483" s="2" t="s">
        <v>1910</v>
      </c>
      <c r="D483" s="2">
        <v>2</v>
      </c>
      <c r="E483" s="37">
        <v>0.3</v>
      </c>
      <c r="F483" s="5" t="s">
        <v>1911</v>
      </c>
    </row>
    <row r="484" spans="1:6" hidden="1" outlineLevel="1" x14ac:dyDescent="0.25">
      <c r="A484" s="2">
        <v>5</v>
      </c>
      <c r="B484" s="2" t="s">
        <v>1912</v>
      </c>
      <c r="C484" s="2" t="s">
        <v>1913</v>
      </c>
      <c r="D484" s="245" t="s">
        <v>600</v>
      </c>
      <c r="E484" s="102" t="s">
        <v>1914</v>
      </c>
      <c r="F484" s="5" t="s">
        <v>1915</v>
      </c>
    </row>
    <row r="485" spans="1:6" ht="27.6" hidden="1" outlineLevel="1" x14ac:dyDescent="0.25">
      <c r="A485" s="2">
        <v>6</v>
      </c>
      <c r="B485" s="2" t="s">
        <v>1917</v>
      </c>
      <c r="C485" s="2" t="s">
        <v>1918</v>
      </c>
      <c r="D485" s="160" t="s">
        <v>724</v>
      </c>
      <c r="E485" s="37">
        <v>0.3</v>
      </c>
      <c r="F485" s="5" t="s">
        <v>1919</v>
      </c>
    </row>
    <row r="486" spans="1:6" ht="27.6" hidden="1" outlineLevel="1" x14ac:dyDescent="0.25">
      <c r="A486" s="2">
        <v>7</v>
      </c>
      <c r="B486" s="2" t="s">
        <v>1853</v>
      </c>
      <c r="C486" s="2" t="s">
        <v>1920</v>
      </c>
      <c r="D486" s="2">
        <v>2</v>
      </c>
      <c r="E486" s="2"/>
      <c r="F486" s="5" t="s">
        <v>1921</v>
      </c>
    </row>
    <row r="487" spans="1:6" collapsed="1" x14ac:dyDescent="0.25">
      <c r="F487" s="291"/>
    </row>
    <row r="488" spans="1:6" ht="14.4" hidden="1" outlineLevel="1" thickBot="1" x14ac:dyDescent="0.3"/>
    <row r="489" spans="1:6" ht="14.4" hidden="1" outlineLevel="1" thickBot="1" x14ac:dyDescent="0.3">
      <c r="A489" s="328" t="s">
        <v>1931</v>
      </c>
      <c r="B489" s="329"/>
      <c r="C489" s="329"/>
      <c r="D489" s="329"/>
      <c r="E489" s="329"/>
      <c r="F489" s="330"/>
    </row>
    <row r="490" spans="1:6" hidden="1" outlineLevel="1" x14ac:dyDescent="0.25">
      <c r="A490" s="9">
        <v>1</v>
      </c>
      <c r="B490" s="9" t="s">
        <v>1932</v>
      </c>
      <c r="C490" s="9" t="s">
        <v>1933</v>
      </c>
      <c r="D490" s="9">
        <v>1</v>
      </c>
      <c r="E490" s="40">
        <v>0.3</v>
      </c>
      <c r="F490" s="9" t="s">
        <v>1934</v>
      </c>
    </row>
    <row r="491" spans="1:6" hidden="1" outlineLevel="1" x14ac:dyDescent="0.25">
      <c r="A491" s="2">
        <v>2</v>
      </c>
      <c r="B491" s="2" t="s">
        <v>1935</v>
      </c>
      <c r="C491" s="2" t="s">
        <v>1936</v>
      </c>
      <c r="D491" s="2">
        <v>1</v>
      </c>
      <c r="E491" s="37">
        <v>0.3</v>
      </c>
      <c r="F491" s="2" t="s">
        <v>1937</v>
      </c>
    </row>
    <row r="492" spans="1:6" hidden="1" outlineLevel="1" x14ac:dyDescent="0.25">
      <c r="A492" s="2">
        <v>3</v>
      </c>
      <c r="B492" s="2" t="s">
        <v>1938</v>
      </c>
      <c r="C492" s="2" t="s">
        <v>1940</v>
      </c>
      <c r="D492" s="2">
        <v>2</v>
      </c>
      <c r="E492" s="37">
        <v>0.3</v>
      </c>
      <c r="F492" s="2" t="s">
        <v>1939</v>
      </c>
    </row>
    <row r="493" spans="1:6" hidden="1" outlineLevel="1" x14ac:dyDescent="0.25">
      <c r="A493" s="2">
        <v>4</v>
      </c>
      <c r="B493" s="2" t="s">
        <v>1941</v>
      </c>
      <c r="C493" s="2" t="s">
        <v>1942</v>
      </c>
      <c r="D493" s="2">
        <v>1</v>
      </c>
      <c r="E493" s="37">
        <v>0.3</v>
      </c>
      <c r="F493" s="2"/>
    </row>
    <row r="494" spans="1:6" hidden="1" outlineLevel="1" x14ac:dyDescent="0.25">
      <c r="A494" s="2">
        <v>5</v>
      </c>
      <c r="B494" s="2" t="s">
        <v>1943</v>
      </c>
      <c r="C494" s="2" t="s">
        <v>923</v>
      </c>
      <c r="D494" s="2">
        <v>2</v>
      </c>
      <c r="E494" s="37">
        <v>0.3</v>
      </c>
      <c r="F494" s="2" t="s">
        <v>1944</v>
      </c>
    </row>
    <row r="495" spans="1:6" hidden="1" outlineLevel="1" x14ac:dyDescent="0.25">
      <c r="A495" s="2">
        <v>6</v>
      </c>
      <c r="B495" s="2" t="s">
        <v>1850</v>
      </c>
      <c r="C495" s="2" t="s">
        <v>752</v>
      </c>
      <c r="D495" s="2">
        <v>1</v>
      </c>
      <c r="E495" s="2"/>
      <c r="F495" s="2" t="s">
        <v>1945</v>
      </c>
    </row>
    <row r="496" spans="1:6" hidden="1" outlineLevel="1" x14ac:dyDescent="0.25">
      <c r="A496" s="2"/>
      <c r="B496" s="2"/>
      <c r="C496" s="2"/>
      <c r="D496" s="2"/>
      <c r="E496" s="2"/>
      <c r="F496" s="2"/>
    </row>
    <row r="497" spans="1:6" collapsed="1" x14ac:dyDescent="0.25"/>
    <row r="498" spans="1:6" ht="14.4" hidden="1" outlineLevel="1" thickBot="1" x14ac:dyDescent="0.3">
      <c r="A498" s="328" t="s">
        <v>1946</v>
      </c>
      <c r="B498" s="329"/>
      <c r="C498" s="329"/>
      <c r="D498" s="329"/>
      <c r="E498" s="329"/>
      <c r="F498" s="330"/>
    </row>
    <row r="499" spans="1:6" hidden="1" outlineLevel="1" x14ac:dyDescent="0.25">
      <c r="A499" s="9">
        <v>1</v>
      </c>
      <c r="B499" s="9" t="s">
        <v>1113</v>
      </c>
      <c r="C499" s="9" t="s">
        <v>819</v>
      </c>
      <c r="D499" s="9">
        <v>2</v>
      </c>
      <c r="E499" s="40">
        <v>0.3</v>
      </c>
      <c r="F499" s="9" t="s">
        <v>1947</v>
      </c>
    </row>
    <row r="500" spans="1:6" hidden="1" outlineLevel="1" x14ac:dyDescent="0.25">
      <c r="A500" s="2">
        <v>2</v>
      </c>
      <c r="B500" s="2" t="s">
        <v>1113</v>
      </c>
      <c r="C500" s="2" t="s">
        <v>1390</v>
      </c>
      <c r="D500" s="2">
        <v>3</v>
      </c>
      <c r="E500" s="37">
        <v>0.3</v>
      </c>
      <c r="F500" s="2"/>
    </row>
    <row r="501" spans="1:6" hidden="1" outlineLevel="1" x14ac:dyDescent="0.25">
      <c r="A501" s="2">
        <v>3</v>
      </c>
      <c r="B501" s="2" t="s">
        <v>771</v>
      </c>
      <c r="C501" s="2" t="s">
        <v>1949</v>
      </c>
      <c r="D501" s="32" t="s">
        <v>1950</v>
      </c>
      <c r="E501" s="37">
        <v>0.3</v>
      </c>
      <c r="F501" s="2"/>
    </row>
    <row r="502" spans="1:6" hidden="1" outlineLevel="1" x14ac:dyDescent="0.25">
      <c r="A502" s="2">
        <v>4</v>
      </c>
      <c r="B502" s="2" t="s">
        <v>1951</v>
      </c>
      <c r="C502" s="2" t="s">
        <v>1953</v>
      </c>
      <c r="D502" s="160" t="s">
        <v>1289</v>
      </c>
      <c r="E502" s="37">
        <v>0.3</v>
      </c>
      <c r="F502" s="2" t="s">
        <v>1954</v>
      </c>
    </row>
    <row r="503" spans="1:6" hidden="1" outlineLevel="1" x14ac:dyDescent="0.25">
      <c r="A503" s="2">
        <v>5</v>
      </c>
      <c r="B503" s="2" t="s">
        <v>1952</v>
      </c>
      <c r="C503" s="2" t="s">
        <v>1955</v>
      </c>
      <c r="D503" s="2">
        <v>1</v>
      </c>
      <c r="E503" s="37">
        <v>0.3</v>
      </c>
      <c r="F503" s="2"/>
    </row>
    <row r="504" spans="1:6" ht="27.6" hidden="1" outlineLevel="1" x14ac:dyDescent="0.25">
      <c r="A504" s="2">
        <v>5</v>
      </c>
      <c r="B504" s="5" t="s">
        <v>1948</v>
      </c>
      <c r="C504" s="2" t="s">
        <v>1956</v>
      </c>
      <c r="D504" s="2"/>
      <c r="E504" s="37">
        <v>0.25</v>
      </c>
      <c r="F504" s="2"/>
    </row>
    <row r="505" spans="1:6" hidden="1" outlineLevel="1" x14ac:dyDescent="0.25"/>
    <row r="506" spans="1:6" hidden="1" outlineLevel="1" x14ac:dyDescent="0.25"/>
    <row r="507" spans="1:6" hidden="1" outlineLevel="1" x14ac:dyDescent="0.25">
      <c r="B507" s="1" t="s">
        <v>1957</v>
      </c>
      <c r="C507" s="1">
        <v>2</v>
      </c>
      <c r="E507" s="1" t="s">
        <v>393</v>
      </c>
      <c r="F507" s="1" t="s">
        <v>1961</v>
      </c>
    </row>
    <row r="508" spans="1:6" hidden="1" outlineLevel="1" x14ac:dyDescent="0.25">
      <c r="E508" s="1" t="s">
        <v>360</v>
      </c>
      <c r="F508" s="1" t="s">
        <v>1960</v>
      </c>
    </row>
    <row r="509" spans="1:6" hidden="1" outlineLevel="1" x14ac:dyDescent="0.25">
      <c r="B509" s="1" t="s">
        <v>1958</v>
      </c>
      <c r="C509" s="1">
        <v>0</v>
      </c>
    </row>
    <row r="510" spans="1:6" hidden="1" outlineLevel="1" x14ac:dyDescent="0.25">
      <c r="B510" s="1" t="s">
        <v>1959</v>
      </c>
      <c r="C510" s="294">
        <v>2748000</v>
      </c>
      <c r="D510" s="293"/>
      <c r="E510" s="1" t="s">
        <v>95</v>
      </c>
    </row>
    <row r="511" spans="1:6" collapsed="1" x14ac:dyDescent="0.25"/>
    <row r="512" spans="1:6" ht="14.4" hidden="1" outlineLevel="1" thickBot="1" x14ac:dyDescent="0.3">
      <c r="A512" s="328" t="s">
        <v>1962</v>
      </c>
      <c r="B512" s="329"/>
      <c r="C512" s="329"/>
      <c r="D512" s="329"/>
      <c r="E512" s="329"/>
      <c r="F512" s="330"/>
    </row>
    <row r="513" spans="1:6" hidden="1" outlineLevel="1" x14ac:dyDescent="0.25">
      <c r="A513" s="9">
        <v>1</v>
      </c>
      <c r="B513" s="98" t="s">
        <v>1963</v>
      </c>
      <c r="C513" s="98" t="s">
        <v>1192</v>
      </c>
      <c r="D513" s="98">
        <v>1</v>
      </c>
      <c r="E513" s="295">
        <v>0.27500000000000002</v>
      </c>
      <c r="F513" s="98" t="s">
        <v>1964</v>
      </c>
    </row>
    <row r="514" spans="1:6" hidden="1" outlineLevel="1" x14ac:dyDescent="0.25">
      <c r="A514" s="2">
        <v>2</v>
      </c>
      <c r="B514" s="2" t="s">
        <v>1965</v>
      </c>
      <c r="C514" s="2" t="s">
        <v>1966</v>
      </c>
      <c r="D514" s="2">
        <v>1</v>
      </c>
      <c r="E514" s="37">
        <v>0.25</v>
      </c>
      <c r="F514" s="2"/>
    </row>
    <row r="515" spans="1:6" hidden="1" outlineLevel="1" x14ac:dyDescent="0.25">
      <c r="A515" s="2">
        <v>3</v>
      </c>
      <c r="B515" s="2" t="s">
        <v>1967</v>
      </c>
      <c r="C515" s="2" t="s">
        <v>1204</v>
      </c>
      <c r="D515" s="2">
        <v>10</v>
      </c>
      <c r="E515" s="37">
        <v>0.3</v>
      </c>
      <c r="F515" s="2" t="s">
        <v>1968</v>
      </c>
    </row>
    <row r="516" spans="1:6" hidden="1" outlineLevel="1" x14ac:dyDescent="0.25">
      <c r="A516" s="2">
        <v>4</v>
      </c>
      <c r="B516" s="2" t="s">
        <v>1969</v>
      </c>
      <c r="C516" s="2" t="s">
        <v>393</v>
      </c>
      <c r="D516" s="2">
        <v>2</v>
      </c>
      <c r="E516" s="37">
        <v>0.3</v>
      </c>
      <c r="F516" s="2"/>
    </row>
    <row r="517" spans="1:6" hidden="1" outlineLevel="1" x14ac:dyDescent="0.25">
      <c r="A517" s="2"/>
      <c r="B517" s="2" t="s">
        <v>1969</v>
      </c>
      <c r="C517" s="2" t="s">
        <v>355</v>
      </c>
      <c r="D517" s="2">
        <v>2</v>
      </c>
      <c r="E517" s="37">
        <v>0.3</v>
      </c>
      <c r="F517" s="2"/>
    </row>
    <row r="518" spans="1:6" hidden="1" outlineLevel="1" x14ac:dyDescent="0.25">
      <c r="A518" s="2"/>
      <c r="B518" s="2" t="s">
        <v>1969</v>
      </c>
      <c r="C518" s="2" t="s">
        <v>752</v>
      </c>
      <c r="D518" s="2">
        <v>2</v>
      </c>
      <c r="E518" s="37">
        <v>0.3</v>
      </c>
      <c r="F518" s="2"/>
    </row>
    <row r="519" spans="1:6" hidden="1" outlineLevel="1" x14ac:dyDescent="0.25">
      <c r="A519" s="2">
        <v>5</v>
      </c>
      <c r="B519" s="2" t="s">
        <v>1970</v>
      </c>
      <c r="C519" s="2" t="s">
        <v>232</v>
      </c>
      <c r="D519" s="2">
        <v>4</v>
      </c>
      <c r="E519" s="37">
        <v>0.3</v>
      </c>
      <c r="F519" s="2" t="s">
        <v>1971</v>
      </c>
    </row>
    <row r="520" spans="1:6" collapsed="1" x14ac:dyDescent="0.25"/>
    <row r="522" spans="1:6" hidden="1" outlineLevel="1" x14ac:dyDescent="0.25">
      <c r="A522" s="325" t="s">
        <v>1972</v>
      </c>
      <c r="B522" s="326"/>
      <c r="C522" s="326"/>
      <c r="D522" s="326"/>
      <c r="E522" s="326"/>
      <c r="F522" s="327"/>
    </row>
    <row r="523" spans="1:6" hidden="1" outlineLevel="1" x14ac:dyDescent="0.25">
      <c r="A523" s="2">
        <v>1</v>
      </c>
      <c r="B523" s="2" t="s">
        <v>1973</v>
      </c>
      <c r="C523" s="2" t="s">
        <v>393</v>
      </c>
      <c r="D523" s="2">
        <v>3</v>
      </c>
      <c r="E523" s="37">
        <v>0.31</v>
      </c>
      <c r="F523" s="2"/>
    </row>
    <row r="524" spans="1:6" hidden="1" outlineLevel="1" x14ac:dyDescent="0.25">
      <c r="A524" s="2">
        <v>2</v>
      </c>
      <c r="B524" s="2" t="s">
        <v>1974</v>
      </c>
      <c r="C524" s="2" t="s">
        <v>1975</v>
      </c>
      <c r="D524" s="2">
        <v>3</v>
      </c>
      <c r="E524" s="115">
        <v>0.27500000000000002</v>
      </c>
      <c r="F524" s="2"/>
    </row>
    <row r="525" spans="1:6" hidden="1" outlineLevel="1" x14ac:dyDescent="0.25">
      <c r="A525" s="2">
        <v>3</v>
      </c>
      <c r="B525" s="2" t="s">
        <v>1976</v>
      </c>
      <c r="C525" s="2" t="s">
        <v>923</v>
      </c>
      <c r="D525" s="2">
        <v>2</v>
      </c>
      <c r="E525" s="37">
        <v>0.25</v>
      </c>
      <c r="F525" s="2"/>
    </row>
    <row r="526" spans="1:6" hidden="1" outlineLevel="1" x14ac:dyDescent="0.25">
      <c r="A526" s="2"/>
      <c r="B526" s="2"/>
      <c r="C526" s="2"/>
      <c r="D526" s="2"/>
      <c r="E526" s="37"/>
      <c r="F526" s="2"/>
    </row>
    <row r="527" spans="1:6" hidden="1" outlineLevel="1" x14ac:dyDescent="0.25">
      <c r="A527" s="2"/>
      <c r="B527" s="2" t="s">
        <v>1985</v>
      </c>
      <c r="C527" s="2" t="s">
        <v>1983</v>
      </c>
      <c r="D527" s="2" t="s">
        <v>724</v>
      </c>
      <c r="E527" s="2"/>
      <c r="F527" s="2" t="s">
        <v>1984</v>
      </c>
    </row>
    <row r="528" spans="1:6" hidden="1" outlineLevel="1" x14ac:dyDescent="0.25">
      <c r="A528" s="2"/>
      <c r="B528" s="2" t="s">
        <v>1779</v>
      </c>
      <c r="C528" s="2" t="s">
        <v>840</v>
      </c>
      <c r="D528" s="2">
        <v>1</v>
      </c>
      <c r="E528" s="2"/>
      <c r="F528" s="2" t="s">
        <v>1986</v>
      </c>
    </row>
    <row r="529" spans="1:6" hidden="1" outlineLevel="1" x14ac:dyDescent="0.25">
      <c r="A529" s="2"/>
      <c r="B529" s="2" t="s">
        <v>1987</v>
      </c>
      <c r="C529" s="2" t="s">
        <v>923</v>
      </c>
      <c r="D529" s="2">
        <v>2</v>
      </c>
      <c r="E529" s="2"/>
      <c r="F529" s="2" t="s">
        <v>1988</v>
      </c>
    </row>
    <row r="530" spans="1:6" hidden="1" outlineLevel="1" x14ac:dyDescent="0.25"/>
    <row r="531" spans="1:6" hidden="1" outlineLevel="1" x14ac:dyDescent="0.25"/>
    <row r="532" spans="1:6" hidden="1" outlineLevel="1" x14ac:dyDescent="0.25"/>
    <row r="533" spans="1:6" hidden="1" outlineLevel="1" x14ac:dyDescent="0.25">
      <c r="B533" s="1" t="s">
        <v>1845</v>
      </c>
    </row>
    <row r="534" spans="1:6" hidden="1" outlineLevel="1" x14ac:dyDescent="0.25">
      <c r="B534" s="1" t="s">
        <v>1977</v>
      </c>
      <c r="C534" s="1" t="s">
        <v>1979</v>
      </c>
      <c r="D534" s="1" t="s">
        <v>393</v>
      </c>
      <c r="E534" s="39">
        <v>850000</v>
      </c>
    </row>
    <row r="535" spans="1:6" hidden="1" outlineLevel="1" x14ac:dyDescent="0.25">
      <c r="C535" s="1" t="s">
        <v>1980</v>
      </c>
      <c r="D535" s="1" t="s">
        <v>1982</v>
      </c>
      <c r="E535" s="1">
        <v>1139400</v>
      </c>
      <c r="F535" s="39">
        <v>798000</v>
      </c>
    </row>
    <row r="536" spans="1:6" hidden="1" outlineLevel="1" x14ac:dyDescent="0.25">
      <c r="C536" s="1" t="s">
        <v>1981</v>
      </c>
      <c r="D536" s="1" t="s">
        <v>360</v>
      </c>
      <c r="E536" s="39">
        <v>1898000</v>
      </c>
      <c r="F536" s="39"/>
    </row>
    <row r="537" spans="1:6" ht="14.4" hidden="1" outlineLevel="1" thickBot="1" x14ac:dyDescent="0.3">
      <c r="E537" s="39"/>
      <c r="F537" s="39"/>
    </row>
    <row r="538" spans="1:6" ht="14.4" hidden="1" outlineLevel="1" thickBot="1" x14ac:dyDescent="0.3">
      <c r="B538" s="1" t="s">
        <v>1978</v>
      </c>
      <c r="C538" s="296">
        <f>E538+F538</f>
        <v>4685400</v>
      </c>
      <c r="E538" s="39">
        <f>E536+E535+E534</f>
        <v>3887400</v>
      </c>
      <c r="F538" s="39">
        <f>F535</f>
        <v>798000</v>
      </c>
    </row>
    <row r="539" spans="1:6" hidden="1" outlineLevel="1" x14ac:dyDescent="0.25"/>
    <row r="540" spans="1:6" ht="14.4" hidden="1" outlineLevel="1" thickBot="1" x14ac:dyDescent="0.3"/>
    <row r="541" spans="1:6" hidden="1" outlineLevel="1" x14ac:dyDescent="0.25">
      <c r="A541" s="325" t="s">
        <v>1989</v>
      </c>
      <c r="B541" s="326"/>
      <c r="C541" s="326"/>
      <c r="D541" s="326"/>
      <c r="E541" s="326"/>
      <c r="F541" s="327"/>
    </row>
    <row r="542" spans="1:6" ht="52.95" hidden="1" customHeight="1" outlineLevel="1" x14ac:dyDescent="0.25">
      <c r="A542" s="2">
        <v>1</v>
      </c>
      <c r="B542" s="2" t="s">
        <v>1990</v>
      </c>
      <c r="C542" s="353" t="s">
        <v>2028</v>
      </c>
      <c r="D542" s="354"/>
      <c r="E542" s="354"/>
      <c r="F542" s="355"/>
    </row>
    <row r="543" spans="1:6" hidden="1" outlineLevel="1" x14ac:dyDescent="0.25">
      <c r="A543" s="2">
        <v>2</v>
      </c>
      <c r="B543" s="2" t="s">
        <v>112</v>
      </c>
      <c r="C543" s="359" t="s">
        <v>2025</v>
      </c>
      <c r="D543" s="338"/>
      <c r="E543" s="338"/>
      <c r="F543" s="358"/>
    </row>
    <row r="544" spans="1:6" hidden="1" outlineLevel="1" x14ac:dyDescent="0.25">
      <c r="A544" s="2">
        <v>3</v>
      </c>
      <c r="B544" s="2" t="s">
        <v>1991</v>
      </c>
      <c r="C544" s="359" t="s">
        <v>2020</v>
      </c>
      <c r="D544" s="338"/>
      <c r="E544" s="338"/>
      <c r="F544" s="358"/>
    </row>
    <row r="545" spans="1:6" ht="41.4" hidden="1" outlineLevel="1" x14ac:dyDescent="0.25">
      <c r="A545" s="2">
        <v>4</v>
      </c>
      <c r="B545" s="5" t="s">
        <v>1992</v>
      </c>
      <c r="C545" s="372" t="s">
        <v>2026</v>
      </c>
      <c r="D545" s="372"/>
      <c r="E545" s="372"/>
      <c r="F545" s="372"/>
    </row>
    <row r="546" spans="1:6" hidden="1" outlineLevel="1" x14ac:dyDescent="0.25">
      <c r="A546" s="2">
        <v>5</v>
      </c>
      <c r="B546" s="2" t="s">
        <v>1998</v>
      </c>
      <c r="C546" s="2" t="s">
        <v>2001</v>
      </c>
      <c r="D546" s="2"/>
      <c r="E546" s="2"/>
      <c r="F546" s="2"/>
    </row>
    <row r="547" spans="1:6" hidden="1" outlineLevel="1" x14ac:dyDescent="0.25">
      <c r="A547" s="2">
        <v>6</v>
      </c>
      <c r="B547" s="2" t="s">
        <v>1993</v>
      </c>
      <c r="C547" s="359" t="s">
        <v>2019</v>
      </c>
      <c r="D547" s="338"/>
      <c r="E547" s="338"/>
      <c r="F547" s="358"/>
    </row>
    <row r="548" spans="1:6" hidden="1" outlineLevel="1" x14ac:dyDescent="0.25">
      <c r="A548" s="2">
        <v>7</v>
      </c>
      <c r="B548" s="2" t="s">
        <v>1994</v>
      </c>
      <c r="C548" s="359" t="s">
        <v>2018</v>
      </c>
      <c r="D548" s="338"/>
      <c r="E548" s="338"/>
      <c r="F548" s="358"/>
    </row>
    <row r="549" spans="1:6" hidden="1" outlineLevel="1" x14ac:dyDescent="0.25">
      <c r="A549" s="2">
        <v>8</v>
      </c>
      <c r="B549" s="2" t="s">
        <v>1995</v>
      </c>
      <c r="C549" s="2" t="s">
        <v>2017</v>
      </c>
      <c r="D549" s="2"/>
      <c r="E549" s="2"/>
      <c r="F549" s="2"/>
    </row>
    <row r="550" spans="1:6" hidden="1" outlineLevel="1" x14ac:dyDescent="0.25">
      <c r="A550" s="2">
        <v>9</v>
      </c>
      <c r="B550" s="2" t="s">
        <v>1996</v>
      </c>
      <c r="C550" s="359" t="s">
        <v>2000</v>
      </c>
      <c r="D550" s="338"/>
      <c r="E550" s="338"/>
      <c r="F550" s="358"/>
    </row>
    <row r="551" spans="1:6" hidden="1" outlineLevel="1" x14ac:dyDescent="0.25">
      <c r="A551" s="2">
        <v>10</v>
      </c>
      <c r="B551" s="2" t="s">
        <v>1997</v>
      </c>
      <c r="C551" s="2" t="s">
        <v>2016</v>
      </c>
      <c r="D551" s="2"/>
      <c r="E551" s="2"/>
      <c r="F551" s="2"/>
    </row>
    <row r="552" spans="1:6" hidden="1" outlineLevel="1" x14ac:dyDescent="0.25">
      <c r="A552" s="2"/>
      <c r="B552" s="2" t="s">
        <v>1999</v>
      </c>
      <c r="C552" s="369" t="s">
        <v>2035</v>
      </c>
      <c r="D552" s="370"/>
      <c r="E552" s="370"/>
      <c r="F552" s="371"/>
    </row>
    <row r="553" spans="1:6" ht="45" hidden="1" customHeight="1" outlineLevel="1" x14ac:dyDescent="0.25">
      <c r="A553" s="2">
        <v>11</v>
      </c>
      <c r="B553" s="2" t="s">
        <v>2002</v>
      </c>
      <c r="C553" s="353" t="s">
        <v>2003</v>
      </c>
      <c r="D553" s="354"/>
      <c r="E553" s="354"/>
      <c r="F553" s="355"/>
    </row>
    <row r="554" spans="1:6" hidden="1" outlineLevel="1" x14ac:dyDescent="0.25">
      <c r="A554" s="2"/>
      <c r="B554" s="2"/>
      <c r="C554" s="2" t="s">
        <v>2004</v>
      </c>
      <c r="D554" s="2"/>
      <c r="E554" s="2"/>
      <c r="F554" s="2"/>
    </row>
    <row r="555" spans="1:6" hidden="1" outlineLevel="1" x14ac:dyDescent="0.25">
      <c r="A555" s="2"/>
      <c r="B555" s="2"/>
      <c r="C555" s="359" t="s">
        <v>2024</v>
      </c>
      <c r="D555" s="338"/>
      <c r="E555" s="338"/>
      <c r="F555" s="358"/>
    </row>
    <row r="556" spans="1:6" ht="34.950000000000003" hidden="1" customHeight="1" outlineLevel="1" x14ac:dyDescent="0.25">
      <c r="A556" s="2"/>
      <c r="B556" s="2" t="s">
        <v>2005</v>
      </c>
      <c r="C556" s="366" t="s">
        <v>2006</v>
      </c>
      <c r="D556" s="373"/>
      <c r="E556" s="373"/>
      <c r="F556" s="367"/>
    </row>
    <row r="557" spans="1:6" hidden="1" outlineLevel="1" x14ac:dyDescent="0.25">
      <c r="A557" s="2">
        <v>12</v>
      </c>
      <c r="B557" s="2" t="s">
        <v>2007</v>
      </c>
      <c r="C557" s="369" t="s">
        <v>2013</v>
      </c>
      <c r="D557" s="370"/>
      <c r="E557" s="370"/>
      <c r="F557" s="371"/>
    </row>
    <row r="558" spans="1:6" ht="30.6" hidden="1" customHeight="1" outlineLevel="1" x14ac:dyDescent="0.25">
      <c r="A558" s="2">
        <v>13</v>
      </c>
      <c r="B558" s="2" t="s">
        <v>2008</v>
      </c>
      <c r="C558" s="353" t="s">
        <v>2027</v>
      </c>
      <c r="D558" s="354"/>
      <c r="E558" s="354"/>
      <c r="F558" s="355"/>
    </row>
    <row r="559" spans="1:6" hidden="1" outlineLevel="1" x14ac:dyDescent="0.25"/>
    <row r="560" spans="1:6" hidden="1" outlineLevel="1" x14ac:dyDescent="0.25">
      <c r="A560" s="2"/>
      <c r="B560" s="2" t="s">
        <v>2009</v>
      </c>
      <c r="C560" s="2" t="s">
        <v>2010</v>
      </c>
      <c r="D560" s="2" t="s">
        <v>2011</v>
      </c>
      <c r="E560" s="37">
        <v>0.27500000000000002</v>
      </c>
      <c r="F560" s="2" t="s">
        <v>2012</v>
      </c>
    </row>
    <row r="561" spans="1:6" hidden="1" outlineLevel="1" x14ac:dyDescent="0.25">
      <c r="A561" s="2"/>
      <c r="B561" s="2" t="s">
        <v>2014</v>
      </c>
      <c r="C561" s="2" t="s">
        <v>2015</v>
      </c>
      <c r="D561" s="2"/>
      <c r="E561" s="2"/>
      <c r="F561" s="2"/>
    </row>
    <row r="562" spans="1:6" hidden="1" outlineLevel="1" x14ac:dyDescent="0.25">
      <c r="A562" s="2"/>
      <c r="B562" s="2" t="s">
        <v>2021</v>
      </c>
      <c r="C562" s="2" t="s">
        <v>2022</v>
      </c>
      <c r="D562" s="2"/>
      <c r="E562" s="2"/>
      <c r="F562" s="2" t="s">
        <v>2023</v>
      </c>
    </row>
    <row r="563" spans="1:6" hidden="1" outlineLevel="1" x14ac:dyDescent="0.25">
      <c r="B563" s="2" t="s">
        <v>2031</v>
      </c>
      <c r="C563" s="2" t="s">
        <v>2029</v>
      </c>
      <c r="D563" s="2" t="s">
        <v>724</v>
      </c>
      <c r="E563" s="2"/>
      <c r="F563" s="2" t="s">
        <v>2030</v>
      </c>
    </row>
    <row r="564" spans="1:6" hidden="1" outlineLevel="1" x14ac:dyDescent="0.25">
      <c r="B564" s="2" t="s">
        <v>2032</v>
      </c>
      <c r="C564" s="2" t="s">
        <v>2033</v>
      </c>
      <c r="D564" s="2" t="s">
        <v>724</v>
      </c>
      <c r="E564" s="2"/>
      <c r="F564" s="2" t="s">
        <v>2034</v>
      </c>
    </row>
    <row r="565" spans="1:6" hidden="1" outlineLevel="1" x14ac:dyDescent="0.25"/>
    <row r="566" spans="1:6" collapsed="1" x14ac:dyDescent="0.25"/>
    <row r="567" spans="1:6" hidden="1" outlineLevel="1" x14ac:dyDescent="0.25">
      <c r="A567" s="2"/>
      <c r="B567" s="326" t="s">
        <v>2036</v>
      </c>
      <c r="C567" s="326"/>
      <c r="D567" s="326"/>
      <c r="E567" s="326"/>
      <c r="F567" s="327"/>
    </row>
    <row r="568" spans="1:6" hidden="1" outlineLevel="1" x14ac:dyDescent="0.25">
      <c r="A568" s="2">
        <v>1</v>
      </c>
      <c r="B568" s="157" t="s">
        <v>2039</v>
      </c>
      <c r="C568" s="2" t="s">
        <v>2037</v>
      </c>
      <c r="D568" s="2" t="s">
        <v>724</v>
      </c>
      <c r="E568" s="37">
        <v>0.3</v>
      </c>
      <c r="F568" s="2" t="s">
        <v>2038</v>
      </c>
    </row>
    <row r="569" spans="1:6" hidden="1" outlineLevel="1" x14ac:dyDescent="0.25">
      <c r="A569" s="2">
        <v>2</v>
      </c>
      <c r="B569" s="157" t="s">
        <v>2052</v>
      </c>
      <c r="C569" s="2" t="s">
        <v>2040</v>
      </c>
      <c r="D569" s="2" t="s">
        <v>943</v>
      </c>
      <c r="E569" s="37">
        <v>0.3</v>
      </c>
      <c r="F569" s="2" t="s">
        <v>2041</v>
      </c>
    </row>
    <row r="570" spans="1:6" hidden="1" outlineLevel="1" x14ac:dyDescent="0.25">
      <c r="A570" s="2">
        <v>3</v>
      </c>
      <c r="B570" s="157" t="s">
        <v>2042</v>
      </c>
      <c r="C570" s="2" t="s">
        <v>2043</v>
      </c>
      <c r="D570" s="2" t="s">
        <v>2044</v>
      </c>
      <c r="E570" s="37">
        <v>0.3</v>
      </c>
      <c r="F570" s="2"/>
    </row>
    <row r="571" spans="1:6" hidden="1" outlineLevel="1" x14ac:dyDescent="0.25">
      <c r="A571" s="2">
        <v>4</v>
      </c>
      <c r="B571" s="157" t="s">
        <v>2050</v>
      </c>
      <c r="C571" s="2" t="s">
        <v>2051</v>
      </c>
      <c r="D571" s="2">
        <v>2</v>
      </c>
      <c r="E571" s="37"/>
      <c r="F571" s="2"/>
    </row>
    <row r="572" spans="1:6" hidden="1" outlineLevel="1" x14ac:dyDescent="0.25">
      <c r="A572" s="2"/>
      <c r="B572" s="157"/>
      <c r="C572" s="2"/>
      <c r="D572" s="2"/>
      <c r="E572" s="37"/>
      <c r="F572" s="2"/>
    </row>
    <row r="573" spans="1:6" hidden="1" outlineLevel="1" x14ac:dyDescent="0.25">
      <c r="A573" s="2"/>
      <c r="B573" s="157" t="s">
        <v>2045</v>
      </c>
      <c r="C573" s="2" t="s">
        <v>619</v>
      </c>
      <c r="D573" s="2"/>
      <c r="E573" s="2"/>
      <c r="F573" s="2"/>
    </row>
    <row r="574" spans="1:6" hidden="1" outlineLevel="1" x14ac:dyDescent="0.25">
      <c r="A574" s="2"/>
      <c r="B574" s="157" t="s">
        <v>2046</v>
      </c>
      <c r="C574" s="2" t="s">
        <v>2047</v>
      </c>
      <c r="D574" s="2"/>
      <c r="E574" s="2"/>
      <c r="F574" s="2"/>
    </row>
    <row r="575" spans="1:6" hidden="1" outlineLevel="1" x14ac:dyDescent="0.25">
      <c r="A575" s="2"/>
      <c r="B575" s="157" t="s">
        <v>2048</v>
      </c>
      <c r="C575" s="2" t="s">
        <v>2049</v>
      </c>
      <c r="D575" s="2"/>
      <c r="E575" s="2"/>
      <c r="F575" s="2"/>
    </row>
    <row r="576" spans="1:6" hidden="1" outlineLevel="1" x14ac:dyDescent="0.25"/>
    <row r="577" spans="2:6" hidden="1" outlineLevel="1" x14ac:dyDescent="0.25"/>
    <row r="578" spans="2:6" hidden="1" outlineLevel="1" x14ac:dyDescent="0.25">
      <c r="B578" s="38" t="s">
        <v>2053</v>
      </c>
    </row>
    <row r="579" spans="2:6" hidden="1" outlineLevel="1" x14ac:dyDescent="0.25">
      <c r="B579" s="1" t="s">
        <v>2042</v>
      </c>
      <c r="C579" s="1" t="s">
        <v>2054</v>
      </c>
      <c r="D579" s="94">
        <v>1896000</v>
      </c>
      <c r="F579" s="125">
        <v>1</v>
      </c>
    </row>
    <row r="580" spans="2:6" collapsed="1" x14ac:dyDescent="0.25"/>
    <row r="581" spans="2:6" hidden="1" outlineLevel="1" x14ac:dyDescent="0.25">
      <c r="B581" s="325" t="s">
        <v>2057</v>
      </c>
      <c r="C581" s="326"/>
      <c r="D581" s="326"/>
      <c r="E581" s="326"/>
      <c r="F581" s="327"/>
    </row>
    <row r="582" spans="2:6" hidden="1" outlineLevel="1" x14ac:dyDescent="0.25">
      <c r="B582" s="2" t="s">
        <v>2055</v>
      </c>
      <c r="C582" s="2" t="s">
        <v>2056</v>
      </c>
      <c r="D582" s="2" t="s">
        <v>1027</v>
      </c>
      <c r="E582" s="2"/>
      <c r="F582" s="2" t="s">
        <v>2060</v>
      </c>
    </row>
    <row r="583" spans="2:6" ht="41.4" hidden="1" outlineLevel="1" x14ac:dyDescent="0.25">
      <c r="B583" s="5" t="s">
        <v>2065</v>
      </c>
      <c r="C583" s="2" t="s">
        <v>232</v>
      </c>
      <c r="D583" s="2">
        <v>1</v>
      </c>
      <c r="E583" s="2"/>
      <c r="F583" s="2"/>
    </row>
    <row r="584" spans="2:6" hidden="1" outlineLevel="1" x14ac:dyDescent="0.25">
      <c r="B584" s="2" t="s">
        <v>2067</v>
      </c>
      <c r="C584" s="2" t="s">
        <v>2058</v>
      </c>
      <c r="D584" s="2">
        <v>4</v>
      </c>
      <c r="E584" s="37">
        <v>0.3</v>
      </c>
      <c r="F584" s="2" t="s">
        <v>2059</v>
      </c>
    </row>
    <row r="585" spans="2:6" ht="27.6" hidden="1" outlineLevel="1" x14ac:dyDescent="0.25">
      <c r="B585" s="5" t="s">
        <v>2066</v>
      </c>
      <c r="C585" s="2" t="s">
        <v>1001</v>
      </c>
      <c r="D585" s="2">
        <v>1</v>
      </c>
      <c r="E585" s="2"/>
      <c r="F585" s="2" t="s">
        <v>2060</v>
      </c>
    </row>
    <row r="586" spans="2:6" hidden="1" outlineLevel="1" x14ac:dyDescent="0.25">
      <c r="B586" s="2" t="s">
        <v>2061</v>
      </c>
      <c r="C586" s="2" t="s">
        <v>230</v>
      </c>
      <c r="D586" s="2">
        <v>2</v>
      </c>
      <c r="E586" s="2"/>
      <c r="F586" s="2"/>
    </row>
    <row r="587" spans="2:6" hidden="1" outlineLevel="1" x14ac:dyDescent="0.25">
      <c r="B587" s="2" t="s">
        <v>1111</v>
      </c>
      <c r="C587" s="2" t="s">
        <v>2062</v>
      </c>
      <c r="D587" s="2">
        <v>4</v>
      </c>
      <c r="E587" s="2"/>
      <c r="F587" s="2" t="s">
        <v>483</v>
      </c>
    </row>
    <row r="588" spans="2:6" hidden="1" outlineLevel="1" x14ac:dyDescent="0.25">
      <c r="B588" s="2" t="s">
        <v>2063</v>
      </c>
      <c r="C588" s="2" t="s">
        <v>1001</v>
      </c>
      <c r="D588" s="2">
        <v>1</v>
      </c>
      <c r="E588" s="2"/>
      <c r="F588" s="2" t="s">
        <v>2064</v>
      </c>
    </row>
    <row r="589" spans="2:6" hidden="1" outlineLevel="1" x14ac:dyDescent="0.25">
      <c r="B589" s="2" t="s">
        <v>2031</v>
      </c>
      <c r="C589" s="2" t="s">
        <v>2071</v>
      </c>
      <c r="D589" s="2"/>
      <c r="E589" s="2"/>
      <c r="F589" s="2" t="s">
        <v>2072</v>
      </c>
    </row>
    <row r="590" spans="2:6" hidden="1" outlineLevel="1" x14ac:dyDescent="0.25">
      <c r="B590" s="2" t="s">
        <v>2045</v>
      </c>
      <c r="C590" s="2" t="s">
        <v>1611</v>
      </c>
      <c r="D590" s="2" t="s">
        <v>1027</v>
      </c>
      <c r="E590" s="116">
        <v>1140000</v>
      </c>
      <c r="F590" s="2"/>
    </row>
    <row r="591" spans="2:6" hidden="1" outlineLevel="1" x14ac:dyDescent="0.25"/>
    <row r="592" spans="2:6" hidden="1" outlineLevel="1" x14ac:dyDescent="0.25"/>
    <row r="593" spans="2:6" hidden="1" outlineLevel="1" x14ac:dyDescent="0.25">
      <c r="B593" s="374" t="s">
        <v>1231</v>
      </c>
      <c r="C593" s="374"/>
      <c r="D593" s="374"/>
      <c r="E593" s="374"/>
      <c r="F593" s="374"/>
    </row>
    <row r="594" spans="2:6" hidden="1" outlineLevel="1" x14ac:dyDescent="0.25">
      <c r="B594" s="2" t="s">
        <v>2069</v>
      </c>
      <c r="C594" s="2" t="s">
        <v>2068</v>
      </c>
      <c r="D594" s="2" t="s">
        <v>1027</v>
      </c>
      <c r="E594" s="2" t="s">
        <v>2070</v>
      </c>
      <c r="F594" s="116">
        <v>1300000</v>
      </c>
    </row>
    <row r="595" spans="2:6" collapsed="1" x14ac:dyDescent="0.25"/>
    <row r="596" spans="2:6" ht="14.4" hidden="1" outlineLevel="1" thickBot="1" x14ac:dyDescent="0.3"/>
    <row r="597" spans="2:6" ht="14.4" hidden="1" outlineLevel="1" thickBot="1" x14ac:dyDescent="0.3">
      <c r="B597" s="328" t="s">
        <v>2079</v>
      </c>
      <c r="C597" s="329"/>
      <c r="D597" s="329"/>
      <c r="E597" s="329"/>
      <c r="F597" s="330"/>
    </row>
    <row r="598" spans="2:6" ht="27.6" hidden="1" outlineLevel="1" x14ac:dyDescent="0.25">
      <c r="B598" s="9" t="s">
        <v>2080</v>
      </c>
      <c r="C598" s="9" t="s">
        <v>2081</v>
      </c>
      <c r="D598" s="9" t="s">
        <v>724</v>
      </c>
      <c r="E598" s="40">
        <v>0.25</v>
      </c>
      <c r="F598" s="33" t="s">
        <v>2082</v>
      </c>
    </row>
    <row r="599" spans="2:6" hidden="1" outlineLevel="1" x14ac:dyDescent="0.25">
      <c r="B599" s="2" t="s">
        <v>841</v>
      </c>
      <c r="C599" s="2" t="s">
        <v>2083</v>
      </c>
      <c r="D599" s="2" t="s">
        <v>724</v>
      </c>
      <c r="E599" s="37">
        <v>0.15</v>
      </c>
      <c r="F599" s="2" t="s">
        <v>2094</v>
      </c>
    </row>
    <row r="600" spans="2:6" hidden="1" outlineLevel="1" x14ac:dyDescent="0.25">
      <c r="B600" s="2" t="s">
        <v>2110</v>
      </c>
      <c r="C600" s="2" t="s">
        <v>2090</v>
      </c>
      <c r="D600" s="2">
        <v>1</v>
      </c>
      <c r="E600" s="301">
        <v>0.27500000000000002</v>
      </c>
      <c r="F600" s="2"/>
    </row>
    <row r="601" spans="2:6" ht="124.2" hidden="1" outlineLevel="1" x14ac:dyDescent="0.25">
      <c r="B601" s="303" t="s">
        <v>2107</v>
      </c>
      <c r="C601" s="297" t="s">
        <v>2084</v>
      </c>
      <c r="D601" s="297" t="s">
        <v>2085</v>
      </c>
      <c r="E601" s="16"/>
      <c r="F601" s="5" t="s">
        <v>2086</v>
      </c>
    </row>
    <row r="602" spans="2:6" ht="82.8" hidden="1" outlineLevel="1" x14ac:dyDescent="0.25">
      <c r="B602" s="8" t="s">
        <v>2116</v>
      </c>
      <c r="C602" s="298" t="s">
        <v>2095</v>
      </c>
      <c r="D602" s="298" t="s">
        <v>1289</v>
      </c>
      <c r="E602" s="16">
        <v>0.25</v>
      </c>
      <c r="F602" s="5" t="s">
        <v>2113</v>
      </c>
    </row>
    <row r="603" spans="2:6" ht="27.6" hidden="1" outlineLevel="1" x14ac:dyDescent="0.25">
      <c r="B603" s="8" t="s">
        <v>722</v>
      </c>
      <c r="C603" s="298" t="s">
        <v>2104</v>
      </c>
      <c r="D603" s="298">
        <v>11</v>
      </c>
      <c r="E603" s="16">
        <v>0.3</v>
      </c>
      <c r="F603" s="5" t="s">
        <v>2105</v>
      </c>
    </row>
    <row r="604" spans="2:6" ht="27.6" hidden="1" outlineLevel="1" x14ac:dyDescent="0.25">
      <c r="B604" s="8" t="s">
        <v>722</v>
      </c>
      <c r="C604" s="298" t="s">
        <v>2117</v>
      </c>
      <c r="D604" s="298">
        <v>10</v>
      </c>
      <c r="E604" s="16">
        <v>0.3</v>
      </c>
      <c r="F604" s="5" t="s">
        <v>2105</v>
      </c>
    </row>
    <row r="605" spans="2:6" ht="27.6" hidden="1" outlineLevel="1" x14ac:dyDescent="0.25">
      <c r="B605" s="8" t="s">
        <v>55</v>
      </c>
      <c r="C605" s="7" t="s">
        <v>2106</v>
      </c>
      <c r="D605" s="298">
        <v>26</v>
      </c>
      <c r="E605" s="302">
        <v>0.27500000000000002</v>
      </c>
      <c r="F605" s="5"/>
    </row>
    <row r="606" spans="2:6" ht="35.4" hidden="1" customHeight="1" outlineLevel="1" x14ac:dyDescent="0.25">
      <c r="B606" s="8" t="s">
        <v>2087</v>
      </c>
      <c r="C606" s="372" t="s">
        <v>2091</v>
      </c>
      <c r="D606" s="372"/>
      <c r="E606" s="372"/>
      <c r="F606" s="372"/>
    </row>
    <row r="607" spans="2:6" ht="28.8" hidden="1" customHeight="1" outlineLevel="1" x14ac:dyDescent="0.25">
      <c r="B607" s="8" t="s">
        <v>2088</v>
      </c>
      <c r="C607" s="372" t="s">
        <v>2092</v>
      </c>
      <c r="D607" s="372"/>
      <c r="E607" s="372"/>
      <c r="F607" s="372"/>
    </row>
    <row r="608" spans="2:6" hidden="1" outlineLevel="1" x14ac:dyDescent="0.25">
      <c r="B608" s="8" t="s">
        <v>2063</v>
      </c>
      <c r="C608" s="378" t="s">
        <v>2108</v>
      </c>
      <c r="D608" s="378"/>
      <c r="E608" s="378"/>
      <c r="F608" s="378"/>
    </row>
    <row r="609" spans="2:6" hidden="1" outlineLevel="1" x14ac:dyDescent="0.25">
      <c r="B609" s="8" t="s">
        <v>2114</v>
      </c>
      <c r="C609" s="378" t="s">
        <v>2115</v>
      </c>
      <c r="D609" s="378"/>
      <c r="E609" s="378"/>
      <c r="F609" s="378"/>
    </row>
    <row r="610" spans="2:6" hidden="1" outlineLevel="1" x14ac:dyDescent="0.25">
      <c r="B610" s="299"/>
      <c r="C610" s="27"/>
      <c r="D610" s="27"/>
      <c r="E610" s="300"/>
      <c r="F610" s="31"/>
    </row>
    <row r="611" spans="2:6" ht="30" hidden="1" customHeight="1" outlineLevel="1" x14ac:dyDescent="0.25">
      <c r="B611" s="2" t="s">
        <v>2073</v>
      </c>
      <c r="C611" s="353" t="s">
        <v>2112</v>
      </c>
      <c r="D611" s="354"/>
      <c r="E611" s="355"/>
      <c r="F611" s="160" t="s">
        <v>2074</v>
      </c>
    </row>
    <row r="612" spans="2:6" ht="30.6" hidden="1" customHeight="1" outlineLevel="1" x14ac:dyDescent="0.25">
      <c r="B612" s="2" t="s">
        <v>2075</v>
      </c>
      <c r="C612" s="353" t="s">
        <v>2101</v>
      </c>
      <c r="D612" s="354"/>
      <c r="E612" s="354"/>
      <c r="F612" s="355"/>
    </row>
    <row r="613" spans="2:6" ht="31.2" hidden="1" customHeight="1" outlineLevel="1" x14ac:dyDescent="0.25">
      <c r="B613" s="2" t="s">
        <v>2102</v>
      </c>
      <c r="C613" s="353" t="s">
        <v>2103</v>
      </c>
      <c r="D613" s="354"/>
      <c r="E613" s="354"/>
      <c r="F613" s="355"/>
    </row>
    <row r="614" spans="2:6" ht="32.4" hidden="1" customHeight="1" outlineLevel="1" x14ac:dyDescent="0.25">
      <c r="B614" s="2" t="s">
        <v>2076</v>
      </c>
      <c r="C614" s="353" t="s">
        <v>2097</v>
      </c>
      <c r="D614" s="354"/>
      <c r="E614" s="354"/>
      <c r="F614" s="355"/>
    </row>
    <row r="615" spans="2:6" hidden="1" outlineLevel="1" x14ac:dyDescent="0.25">
      <c r="B615" s="2" t="s">
        <v>2077</v>
      </c>
      <c r="C615" s="2" t="s">
        <v>2078</v>
      </c>
      <c r="D615" s="2"/>
      <c r="E615" s="2"/>
      <c r="F615" s="2"/>
    </row>
    <row r="616" spans="2:6" hidden="1" outlineLevel="1" x14ac:dyDescent="0.25">
      <c r="B616" s="2" t="s">
        <v>2089</v>
      </c>
      <c r="C616" s="2" t="s">
        <v>2093</v>
      </c>
      <c r="D616" s="2"/>
      <c r="E616" s="2"/>
      <c r="F616" s="2"/>
    </row>
    <row r="617" spans="2:6" hidden="1" outlineLevel="1" x14ac:dyDescent="0.25">
      <c r="B617" s="2" t="s">
        <v>2100</v>
      </c>
      <c r="C617" s="359" t="s">
        <v>2096</v>
      </c>
      <c r="D617" s="338"/>
      <c r="E617" s="338"/>
      <c r="F617" s="358"/>
    </row>
    <row r="618" spans="2:6" hidden="1" outlineLevel="1" x14ac:dyDescent="0.25">
      <c r="B618" s="2" t="s">
        <v>2098</v>
      </c>
      <c r="C618" s="343" t="s">
        <v>2099</v>
      </c>
      <c r="D618" s="343"/>
      <c r="E618" s="343"/>
      <c r="F618" s="343"/>
    </row>
    <row r="619" spans="2:6" hidden="1" outlineLevel="1" x14ac:dyDescent="0.25">
      <c r="B619" s="2" t="s">
        <v>2111</v>
      </c>
      <c r="C619" s="343" t="s">
        <v>2109</v>
      </c>
      <c r="D619" s="343"/>
      <c r="E619" s="343"/>
      <c r="F619" s="343"/>
    </row>
    <row r="620" spans="2:6" collapsed="1" x14ac:dyDescent="0.25"/>
    <row r="622" spans="2:6" ht="14.4" hidden="1" outlineLevel="1" thickBot="1" x14ac:dyDescent="0.3">
      <c r="B622" s="350" t="s">
        <v>2118</v>
      </c>
      <c r="C622" s="351"/>
      <c r="D622" s="351"/>
      <c r="E622" s="351"/>
      <c r="F622" s="352"/>
    </row>
    <row r="623" spans="2:6" ht="27.6" hidden="1" outlineLevel="1" x14ac:dyDescent="0.25">
      <c r="B623" s="9" t="s">
        <v>2120</v>
      </c>
      <c r="C623" s="9" t="s">
        <v>2146</v>
      </c>
      <c r="D623" s="9">
        <v>3</v>
      </c>
      <c r="E623" s="9">
        <v>27.5</v>
      </c>
      <c r="F623" s="33" t="s">
        <v>2123</v>
      </c>
    </row>
    <row r="624" spans="2:6" ht="27.6" hidden="1" outlineLevel="1" x14ac:dyDescent="0.25">
      <c r="B624" s="2" t="s">
        <v>2119</v>
      </c>
      <c r="C624" s="2" t="s">
        <v>2121</v>
      </c>
      <c r="D624" s="160" t="s">
        <v>943</v>
      </c>
      <c r="E624" s="2">
        <v>27.5</v>
      </c>
      <c r="F624" s="5" t="s">
        <v>2122</v>
      </c>
    </row>
    <row r="625" spans="2:6" ht="41.4" hidden="1" outlineLevel="1" x14ac:dyDescent="0.25">
      <c r="B625" s="2" t="s">
        <v>2069</v>
      </c>
      <c r="C625" s="2" t="s">
        <v>752</v>
      </c>
      <c r="D625" s="160">
        <v>2</v>
      </c>
      <c r="E625" s="2"/>
      <c r="F625" s="5" t="s">
        <v>2143</v>
      </c>
    </row>
    <row r="626" spans="2:6" ht="27.6" hidden="1" outlineLevel="1" x14ac:dyDescent="0.25">
      <c r="B626" s="5" t="s">
        <v>2137</v>
      </c>
      <c r="C626" s="2"/>
      <c r="D626" s="2"/>
      <c r="E626" s="2"/>
      <c r="F626" s="5" t="s">
        <v>2135</v>
      </c>
    </row>
    <row r="627" spans="2:6" hidden="1" outlineLevel="1" x14ac:dyDescent="0.25">
      <c r="B627" s="2" t="s">
        <v>1610</v>
      </c>
      <c r="C627" s="2" t="s">
        <v>2124</v>
      </c>
      <c r="D627" s="2">
        <v>3</v>
      </c>
      <c r="E627" s="37">
        <v>0.3</v>
      </c>
      <c r="F627" s="2" t="s">
        <v>2125</v>
      </c>
    </row>
    <row r="628" spans="2:6" hidden="1" outlineLevel="1" x14ac:dyDescent="0.25">
      <c r="B628" s="2" t="s">
        <v>2145</v>
      </c>
      <c r="C628" s="2" t="s">
        <v>2127</v>
      </c>
      <c r="D628" s="160" t="s">
        <v>943</v>
      </c>
      <c r="E628" s="301">
        <v>0.27500000000000002</v>
      </c>
      <c r="F628" s="2" t="s">
        <v>2128</v>
      </c>
    </row>
    <row r="629" spans="2:6" ht="55.2" hidden="1" outlineLevel="1" x14ac:dyDescent="0.25">
      <c r="B629" s="2" t="s">
        <v>2144</v>
      </c>
      <c r="C629" s="2" t="s">
        <v>2129</v>
      </c>
      <c r="D629" s="160" t="s">
        <v>1289</v>
      </c>
      <c r="E629" s="301">
        <v>0.27500000000000002</v>
      </c>
      <c r="F629" s="5" t="s">
        <v>2147</v>
      </c>
    </row>
    <row r="630" spans="2:6" hidden="1" outlineLevel="1" x14ac:dyDescent="0.25">
      <c r="B630" s="2" t="s">
        <v>2148</v>
      </c>
      <c r="C630" s="2" t="s">
        <v>417</v>
      </c>
      <c r="D630" s="2">
        <v>2</v>
      </c>
      <c r="E630" s="301">
        <v>0.3</v>
      </c>
      <c r="F630" s="5" t="s">
        <v>2149</v>
      </c>
    </row>
    <row r="631" spans="2:6" ht="27.6" hidden="1" outlineLevel="1" x14ac:dyDescent="0.25">
      <c r="B631" s="2" t="s">
        <v>504</v>
      </c>
      <c r="C631" s="2" t="s">
        <v>230</v>
      </c>
      <c r="D631" s="2">
        <v>2</v>
      </c>
      <c r="E631" s="37"/>
      <c r="F631" s="5" t="s">
        <v>2136</v>
      </c>
    </row>
    <row r="632" spans="2:6" ht="27" hidden="1" customHeight="1" outlineLevel="1" x14ac:dyDescent="0.25">
      <c r="B632" s="2" t="s">
        <v>2126</v>
      </c>
      <c r="C632" s="375" t="s">
        <v>2150</v>
      </c>
      <c r="D632" s="376"/>
      <c r="E632" s="376"/>
      <c r="F632" s="377"/>
    </row>
    <row r="633" spans="2:6" hidden="1" outlineLevel="1" x14ac:dyDescent="0.25">
      <c r="B633" s="2" t="s">
        <v>2140</v>
      </c>
      <c r="C633" s="2" t="s">
        <v>2141</v>
      </c>
      <c r="D633" s="2" t="s">
        <v>724</v>
      </c>
      <c r="E633" s="37">
        <v>0.3</v>
      </c>
      <c r="F633" s="2" t="s">
        <v>2142</v>
      </c>
    </row>
    <row r="634" spans="2:6" hidden="1" outlineLevel="1" x14ac:dyDescent="0.25"/>
    <row r="635" spans="2:6" hidden="1" outlineLevel="1" x14ac:dyDescent="0.25">
      <c r="B635" s="1" t="s">
        <v>2130</v>
      </c>
    </row>
    <row r="636" spans="2:6" hidden="1" outlineLevel="1" x14ac:dyDescent="0.25">
      <c r="B636" s="1" t="s">
        <v>2131</v>
      </c>
      <c r="C636" s="1" t="s">
        <v>821</v>
      </c>
      <c r="D636" s="1">
        <v>1</v>
      </c>
      <c r="E636" s="94">
        <v>2480000</v>
      </c>
      <c r="F636" s="1" t="s">
        <v>2132</v>
      </c>
    </row>
    <row r="637" spans="2:6" hidden="1" outlineLevel="1" x14ac:dyDescent="0.25">
      <c r="B637" s="1" t="s">
        <v>2133</v>
      </c>
      <c r="C637" s="1" t="s">
        <v>2134</v>
      </c>
      <c r="D637" s="1">
        <v>1</v>
      </c>
      <c r="E637" s="94">
        <v>1180000</v>
      </c>
      <c r="F637" s="1" t="s">
        <v>2132</v>
      </c>
    </row>
    <row r="638" spans="2:6" hidden="1" outlineLevel="1" x14ac:dyDescent="0.25">
      <c r="B638" s="1" t="s">
        <v>2131</v>
      </c>
      <c r="C638" s="1" t="s">
        <v>2138</v>
      </c>
      <c r="E638" s="1" t="s">
        <v>2139</v>
      </c>
    </row>
    <row r="639" spans="2:6" collapsed="1" x14ac:dyDescent="0.25"/>
    <row r="640" spans="2:6" ht="14.4" hidden="1" outlineLevel="1" thickBot="1" x14ac:dyDescent="0.3"/>
    <row r="641" spans="1:7" ht="14.4" hidden="1" outlineLevel="1" thickBot="1" x14ac:dyDescent="0.3">
      <c r="B641" s="328" t="s">
        <v>2151</v>
      </c>
      <c r="C641" s="329"/>
      <c r="D641" s="329"/>
      <c r="E641" s="329"/>
      <c r="F641" s="327"/>
    </row>
    <row r="642" spans="1:7" hidden="1" outlineLevel="1" x14ac:dyDescent="0.25">
      <c r="B642" s="9" t="s">
        <v>2152</v>
      </c>
      <c r="C642" s="9" t="s">
        <v>2153</v>
      </c>
      <c r="D642" s="9">
        <v>1</v>
      </c>
      <c r="E642" s="40">
        <v>0.3</v>
      </c>
      <c r="F642" s="2" t="s">
        <v>2170</v>
      </c>
      <c r="G642" s="2"/>
    </row>
    <row r="643" spans="1:7" ht="63" hidden="1" customHeight="1" outlineLevel="1" x14ac:dyDescent="0.25">
      <c r="B643" s="2" t="s">
        <v>2165</v>
      </c>
      <c r="C643" s="5" t="s">
        <v>2155</v>
      </c>
      <c r="D643" s="2"/>
      <c r="E643" s="2"/>
      <c r="F643" s="356" t="s">
        <v>2154</v>
      </c>
      <c r="G643" s="356"/>
    </row>
    <row r="644" spans="1:7" hidden="1" outlineLevel="1" x14ac:dyDescent="0.25">
      <c r="B644" s="2" t="s">
        <v>444</v>
      </c>
      <c r="C644" s="2" t="s">
        <v>2156</v>
      </c>
      <c r="D644" s="2">
        <v>2</v>
      </c>
      <c r="E644" s="37">
        <v>0.3</v>
      </c>
      <c r="F644" s="345" t="s">
        <v>2169</v>
      </c>
      <c r="G644" s="345"/>
    </row>
    <row r="645" spans="1:7" hidden="1" outlineLevel="1" x14ac:dyDescent="0.25">
      <c r="B645" s="2" t="s">
        <v>2157</v>
      </c>
      <c r="C645" s="2" t="s">
        <v>451</v>
      </c>
      <c r="D645" s="2">
        <v>2</v>
      </c>
      <c r="E645" s="37">
        <v>0.15</v>
      </c>
      <c r="F645" s="345" t="s">
        <v>2158</v>
      </c>
      <c r="G645" s="345"/>
    </row>
    <row r="646" spans="1:7" hidden="1" outlineLevel="1" x14ac:dyDescent="0.25">
      <c r="B646" s="2" t="s">
        <v>2159</v>
      </c>
      <c r="C646" s="2" t="s">
        <v>2161</v>
      </c>
      <c r="D646" s="2" t="s">
        <v>2160</v>
      </c>
      <c r="E646" s="37">
        <v>0.25</v>
      </c>
      <c r="F646" s="345" t="s">
        <v>2162</v>
      </c>
      <c r="G646" s="345"/>
    </row>
    <row r="647" spans="1:7" ht="51" hidden="1" customHeight="1" outlineLevel="1" x14ac:dyDescent="0.25">
      <c r="B647" s="2" t="s">
        <v>2164</v>
      </c>
      <c r="C647" s="2" t="s">
        <v>2163</v>
      </c>
      <c r="D647" s="2">
        <v>1</v>
      </c>
      <c r="E647" s="115">
        <v>0.27500000000000002</v>
      </c>
      <c r="F647" s="356" t="s">
        <v>2168</v>
      </c>
      <c r="G647" s="356"/>
    </row>
    <row r="648" spans="1:7" hidden="1" outlineLevel="1" x14ac:dyDescent="0.25"/>
    <row r="649" spans="1:7" hidden="1" outlineLevel="1" x14ac:dyDescent="0.25">
      <c r="B649" s="1" t="s">
        <v>2171</v>
      </c>
      <c r="C649" s="1" t="s">
        <v>2172</v>
      </c>
    </row>
    <row r="650" spans="1:7" hidden="1" outlineLevel="1" x14ac:dyDescent="0.25">
      <c r="B650" s="1" t="s">
        <v>2131</v>
      </c>
      <c r="C650" s="1" t="s">
        <v>2138</v>
      </c>
      <c r="E650" s="1" t="s">
        <v>2139</v>
      </c>
    </row>
    <row r="651" spans="1:7" hidden="1" outlineLevel="1" x14ac:dyDescent="0.25"/>
    <row r="652" spans="1:7" hidden="1" outlineLevel="1" x14ac:dyDescent="0.25">
      <c r="B652" s="1" t="s">
        <v>2167</v>
      </c>
      <c r="C652" s="1" t="s">
        <v>2166</v>
      </c>
    </row>
    <row r="653" spans="1:7" collapsed="1" x14ac:dyDescent="0.25"/>
    <row r="654" spans="1:7" ht="14.4" hidden="1" outlineLevel="1" thickBot="1" x14ac:dyDescent="0.3">
      <c r="B654" s="328" t="s">
        <v>2173</v>
      </c>
      <c r="C654" s="329"/>
      <c r="D654" s="329"/>
      <c r="E654" s="329"/>
      <c r="F654" s="329"/>
      <c r="G654" s="330"/>
    </row>
    <row r="655" spans="1:7" hidden="1" outlineLevel="1" x14ac:dyDescent="0.25">
      <c r="A655" s="1">
        <v>1</v>
      </c>
      <c r="B655" s="9" t="s">
        <v>2069</v>
      </c>
      <c r="C655" s="9" t="s">
        <v>2176</v>
      </c>
      <c r="D655" s="213" t="s">
        <v>1138</v>
      </c>
      <c r="E655" s="40">
        <v>0.3</v>
      </c>
      <c r="F655" s="360" t="s">
        <v>2177</v>
      </c>
      <c r="G655" s="361"/>
    </row>
    <row r="656" spans="1:7" hidden="1" outlineLevel="1" x14ac:dyDescent="0.25">
      <c r="A656" s="1">
        <v>2</v>
      </c>
      <c r="B656" s="2" t="s">
        <v>1150</v>
      </c>
      <c r="C656" s="2" t="s">
        <v>792</v>
      </c>
      <c r="D656" s="160" t="s">
        <v>724</v>
      </c>
      <c r="E656" s="37">
        <v>0.25</v>
      </c>
      <c r="F656" s="359" t="s">
        <v>2186</v>
      </c>
      <c r="G656" s="358"/>
    </row>
    <row r="657" spans="1:7" hidden="1" outlineLevel="1" x14ac:dyDescent="0.25">
      <c r="A657" s="1">
        <v>3</v>
      </c>
      <c r="B657" s="2" t="s">
        <v>2174</v>
      </c>
      <c r="C657" s="2" t="s">
        <v>2175</v>
      </c>
      <c r="D657" s="2">
        <v>1</v>
      </c>
      <c r="E657" s="37">
        <v>0.3</v>
      </c>
      <c r="F657" s="359" t="s">
        <v>2188</v>
      </c>
      <c r="G657" s="358"/>
    </row>
    <row r="658" spans="1:7" ht="75.599999999999994" hidden="1" customHeight="1" outlineLevel="1" x14ac:dyDescent="0.25">
      <c r="A658" s="1">
        <v>4</v>
      </c>
      <c r="B658" s="2" t="s">
        <v>2178</v>
      </c>
      <c r="C658" s="2" t="s">
        <v>2180</v>
      </c>
      <c r="D658" s="2">
        <v>4</v>
      </c>
      <c r="E658" s="37">
        <v>0.3</v>
      </c>
      <c r="F658" s="353" t="s">
        <v>2183</v>
      </c>
      <c r="G658" s="358"/>
    </row>
    <row r="659" spans="1:7" ht="48" hidden="1" customHeight="1" outlineLevel="1" x14ac:dyDescent="0.25">
      <c r="A659" s="1">
        <v>5</v>
      </c>
      <c r="B659" s="2" t="s">
        <v>962</v>
      </c>
      <c r="C659" s="2" t="s">
        <v>2179</v>
      </c>
      <c r="D659" s="2">
        <v>3</v>
      </c>
      <c r="E659" s="37">
        <v>0.3</v>
      </c>
      <c r="F659" s="353" t="s">
        <v>2192</v>
      </c>
      <c r="G659" s="355"/>
    </row>
    <row r="660" spans="1:7" ht="42.6" hidden="1" customHeight="1" outlineLevel="1" x14ac:dyDescent="0.25">
      <c r="A660" s="1">
        <v>6</v>
      </c>
      <c r="B660" s="2" t="s">
        <v>2181</v>
      </c>
      <c r="C660" s="2" t="s">
        <v>854</v>
      </c>
      <c r="D660" s="2">
        <v>4</v>
      </c>
      <c r="E660" s="37">
        <v>0.3</v>
      </c>
      <c r="F660" s="353" t="s">
        <v>2182</v>
      </c>
      <c r="G660" s="355"/>
    </row>
    <row r="661" spans="1:7" hidden="1" outlineLevel="1" x14ac:dyDescent="0.25">
      <c r="A661" s="1">
        <v>7</v>
      </c>
      <c r="B661" s="2" t="s">
        <v>2187</v>
      </c>
      <c r="C661" s="2" t="s">
        <v>2184</v>
      </c>
      <c r="D661" s="2">
        <v>1</v>
      </c>
      <c r="E661" s="37">
        <v>0.3</v>
      </c>
      <c r="F661" s="345" t="s">
        <v>2185</v>
      </c>
      <c r="G661" s="345"/>
    </row>
    <row r="662" spans="1:7" ht="52.8" hidden="1" customHeight="1" outlineLevel="1" x14ac:dyDescent="0.25">
      <c r="A662" s="1">
        <v>8</v>
      </c>
      <c r="B662" s="2" t="s">
        <v>2189</v>
      </c>
      <c r="C662" s="2" t="s">
        <v>1335</v>
      </c>
      <c r="D662" s="2" t="s">
        <v>2190</v>
      </c>
      <c r="E662" s="37">
        <v>0.3</v>
      </c>
      <c r="F662" s="356" t="s">
        <v>2191</v>
      </c>
      <c r="G662" s="356"/>
    </row>
    <row r="663" spans="1:7" ht="102" hidden="1" customHeight="1" outlineLevel="1" x14ac:dyDescent="0.25">
      <c r="A663" s="1" t="s">
        <v>2197</v>
      </c>
      <c r="B663" s="2" t="s">
        <v>2193</v>
      </c>
      <c r="C663" s="2" t="s">
        <v>2194</v>
      </c>
      <c r="D663" s="2"/>
      <c r="E663" s="2" t="s">
        <v>2195</v>
      </c>
      <c r="F663" s="356" t="s">
        <v>2196</v>
      </c>
      <c r="G663" s="356"/>
    </row>
    <row r="664" spans="1:7" hidden="1" outlineLevel="1" x14ac:dyDescent="0.25"/>
    <row r="665" spans="1:7" ht="14.4" collapsed="1" thickBot="1" x14ac:dyDescent="0.3"/>
    <row r="666" spans="1:7" outlineLevel="1" x14ac:dyDescent="0.25">
      <c r="B666" s="325" t="s">
        <v>2212</v>
      </c>
      <c r="C666" s="326"/>
      <c r="D666" s="326"/>
      <c r="E666" s="326"/>
      <c r="F666" s="326"/>
      <c r="G666" s="327"/>
    </row>
    <row r="667" spans="1:7" ht="63.6" customHeight="1" outlineLevel="1" x14ac:dyDescent="0.25">
      <c r="B667" s="2" t="s">
        <v>2213</v>
      </c>
      <c r="C667" s="356" t="s">
        <v>2220</v>
      </c>
      <c r="D667" s="356"/>
      <c r="E667" s="356"/>
      <c r="F667" s="356"/>
      <c r="G667" s="356"/>
    </row>
    <row r="668" spans="1:7" ht="55.2" customHeight="1" outlineLevel="1" x14ac:dyDescent="0.25">
      <c r="B668" s="2" t="s">
        <v>2214</v>
      </c>
      <c r="C668" s="356" t="s">
        <v>2219</v>
      </c>
      <c r="D668" s="356"/>
      <c r="E668" s="356"/>
      <c r="F668" s="356"/>
      <c r="G668" s="356"/>
    </row>
    <row r="669" spans="1:7" ht="31.2" customHeight="1" outlineLevel="1" x14ac:dyDescent="0.25">
      <c r="B669" s="2" t="s">
        <v>2215</v>
      </c>
      <c r="C669" s="356" t="s">
        <v>2216</v>
      </c>
      <c r="D669" s="356"/>
      <c r="E669" s="356"/>
      <c r="F669" s="356"/>
      <c r="G669" s="356"/>
    </row>
    <row r="670" spans="1:7" ht="43.2" customHeight="1" outlineLevel="1" x14ac:dyDescent="0.25">
      <c r="B670" s="22" t="s">
        <v>2217</v>
      </c>
      <c r="C670" s="356" t="s">
        <v>2218</v>
      </c>
      <c r="D670" s="356"/>
      <c r="E670" s="356"/>
      <c r="F670" s="356"/>
      <c r="G670" s="356"/>
    </row>
    <row r="671" spans="1:7" ht="39" customHeight="1" outlineLevel="1" x14ac:dyDescent="0.25">
      <c r="B671" s="2" t="s">
        <v>2221</v>
      </c>
      <c r="C671" s="356" t="s">
        <v>2222</v>
      </c>
      <c r="D671" s="356"/>
      <c r="E671" s="356"/>
      <c r="F671" s="356"/>
      <c r="G671" s="356"/>
    </row>
    <row r="672" spans="1:7" ht="35.4" customHeight="1" outlineLevel="1" x14ac:dyDescent="0.25">
      <c r="B672" s="2" t="s">
        <v>2031</v>
      </c>
      <c r="C672" s="356" t="s">
        <v>2223</v>
      </c>
      <c r="D672" s="356"/>
      <c r="E672" s="356"/>
      <c r="F672" s="356"/>
      <c r="G672" s="356"/>
    </row>
    <row r="673" spans="2:7" ht="59.4" customHeight="1" outlineLevel="1" x14ac:dyDescent="0.25">
      <c r="B673" s="2" t="s">
        <v>2224</v>
      </c>
      <c r="C673" s="356" t="s">
        <v>2225</v>
      </c>
      <c r="D673" s="356"/>
      <c r="E673" s="356"/>
      <c r="F673" s="356"/>
      <c r="G673" s="356"/>
    </row>
    <row r="674" spans="2:7" outlineLevel="1" x14ac:dyDescent="0.25">
      <c r="B674" s="2" t="s">
        <v>2226</v>
      </c>
      <c r="C674" s="357" t="s">
        <v>2227</v>
      </c>
      <c r="D674" s="357"/>
      <c r="E674" s="357"/>
      <c r="F674" s="357"/>
      <c r="G674" s="357"/>
    </row>
    <row r="675" spans="2:7" ht="53.4" customHeight="1" outlineLevel="1" x14ac:dyDescent="0.25">
      <c r="B675" s="2" t="s">
        <v>112</v>
      </c>
      <c r="C675" s="356" t="s">
        <v>2228</v>
      </c>
      <c r="D675" s="356"/>
      <c r="E675" s="356"/>
      <c r="F675" s="356"/>
      <c r="G675" s="356"/>
    </row>
    <row r="676" spans="2:7" ht="27.6" customHeight="1" outlineLevel="1" x14ac:dyDescent="0.25">
      <c r="B676" s="2" t="s">
        <v>2234</v>
      </c>
      <c r="C676" s="353" t="s">
        <v>2235</v>
      </c>
      <c r="D676" s="354"/>
      <c r="E676" s="354"/>
      <c r="F676" s="354"/>
      <c r="G676" s="355"/>
    </row>
    <row r="677" spans="2:7" outlineLevel="1" x14ac:dyDescent="0.25">
      <c r="B677" s="2" t="s">
        <v>2231</v>
      </c>
      <c r="C677" s="2" t="s">
        <v>2229</v>
      </c>
      <c r="D677" s="2" t="s">
        <v>724</v>
      </c>
      <c r="E677" s="37">
        <v>0.3</v>
      </c>
      <c r="F677" s="2" t="s">
        <v>2238</v>
      </c>
      <c r="G677" s="2"/>
    </row>
    <row r="678" spans="2:7" outlineLevel="1" x14ac:dyDescent="0.25">
      <c r="B678" s="2" t="s">
        <v>2231</v>
      </c>
      <c r="C678" s="2" t="s">
        <v>821</v>
      </c>
      <c r="D678" s="2">
        <v>1</v>
      </c>
      <c r="E678" s="37">
        <v>0.3</v>
      </c>
      <c r="F678" s="2" t="s">
        <v>2230</v>
      </c>
      <c r="G678" s="2"/>
    </row>
    <row r="679" spans="2:7" outlineLevel="1" x14ac:dyDescent="0.25">
      <c r="B679" s="2" t="s">
        <v>2214</v>
      </c>
      <c r="C679" s="2" t="s">
        <v>2232</v>
      </c>
      <c r="D679" s="2"/>
      <c r="E679" s="37">
        <v>0.3</v>
      </c>
      <c r="F679" s="2" t="s">
        <v>1675</v>
      </c>
      <c r="G679" s="2"/>
    </row>
    <row r="680" spans="2:7" ht="25.8" customHeight="1" outlineLevel="1" x14ac:dyDescent="0.25">
      <c r="B680" s="2" t="s">
        <v>2214</v>
      </c>
      <c r="C680" s="2"/>
      <c r="D680" s="2"/>
      <c r="E680" s="2"/>
      <c r="F680" s="353" t="s">
        <v>2233</v>
      </c>
      <c r="G680" s="355"/>
    </row>
    <row r="681" spans="2:7" outlineLevel="1" x14ac:dyDescent="0.25">
      <c r="B681" s="2" t="s">
        <v>2236</v>
      </c>
      <c r="C681" s="2" t="s">
        <v>1193</v>
      </c>
      <c r="D681" s="2">
        <v>6</v>
      </c>
      <c r="E681" s="2">
        <v>27.5</v>
      </c>
      <c r="F681" s="2" t="s">
        <v>2237</v>
      </c>
      <c r="G681" s="2"/>
    </row>
    <row r="683" spans="2:7" ht="14.4" thickBot="1" x14ac:dyDescent="0.3"/>
    <row r="684" spans="2:7" ht="14.4" thickBot="1" x14ac:dyDescent="0.3">
      <c r="B684" s="328" t="s">
        <v>2248</v>
      </c>
      <c r="C684" s="329"/>
      <c r="D684" s="329"/>
      <c r="E684" s="329"/>
      <c r="F684" s="329"/>
      <c r="G684" s="330"/>
    </row>
    <row r="685" spans="2:7" x14ac:dyDescent="0.25">
      <c r="B685" s="9" t="s">
        <v>2231</v>
      </c>
      <c r="C685" s="9" t="s">
        <v>2252</v>
      </c>
      <c r="D685" s="9">
        <v>2</v>
      </c>
      <c r="E685" s="40">
        <v>0.3</v>
      </c>
      <c r="F685" s="9"/>
      <c r="G685" s="9"/>
    </row>
    <row r="686" spans="2:7" x14ac:dyDescent="0.25">
      <c r="B686" s="9" t="s">
        <v>2231</v>
      </c>
      <c r="C686" s="2" t="s">
        <v>2253</v>
      </c>
      <c r="D686" s="2">
        <v>3</v>
      </c>
      <c r="E686" s="37">
        <v>0.3</v>
      </c>
      <c r="F686" s="2"/>
      <c r="G686" s="2"/>
    </row>
    <row r="687" spans="2:7" x14ac:dyDescent="0.25">
      <c r="B687" s="9" t="s">
        <v>2231</v>
      </c>
      <c r="C687" s="2" t="s">
        <v>2254</v>
      </c>
      <c r="D687" s="2">
        <v>3</v>
      </c>
      <c r="E687" s="37">
        <v>0.3</v>
      </c>
      <c r="F687" s="2"/>
      <c r="G687" s="2"/>
    </row>
    <row r="688" spans="2:7" x14ac:dyDescent="0.25">
      <c r="B688" s="2" t="s">
        <v>474</v>
      </c>
      <c r="C688" s="2" t="s">
        <v>854</v>
      </c>
      <c r="D688" s="2">
        <v>2</v>
      </c>
      <c r="E688" s="37">
        <v>0.25</v>
      </c>
      <c r="F688" s="2"/>
      <c r="G688" s="2"/>
    </row>
    <row r="689" spans="2:7" x14ac:dyDescent="0.25">
      <c r="B689" s="2" t="s">
        <v>112</v>
      </c>
      <c r="C689" s="2" t="s">
        <v>266</v>
      </c>
      <c r="D689" s="2">
        <v>3</v>
      </c>
      <c r="E689" s="37">
        <v>0.3</v>
      </c>
      <c r="F689" s="2" t="s">
        <v>2249</v>
      </c>
      <c r="G689" s="2"/>
    </row>
    <row r="690" spans="2:7" x14ac:dyDescent="0.25">
      <c r="B690" s="2" t="s">
        <v>2250</v>
      </c>
      <c r="C690" s="2" t="s">
        <v>2251</v>
      </c>
      <c r="D690" s="2" t="s">
        <v>724</v>
      </c>
      <c r="E690" s="2"/>
      <c r="F690" s="2"/>
      <c r="G690" s="2"/>
    </row>
    <row r="691" spans="2:7" x14ac:dyDescent="0.25">
      <c r="B691" s="2" t="s">
        <v>2255</v>
      </c>
      <c r="C691" s="2" t="s">
        <v>1835</v>
      </c>
      <c r="D691" s="2">
        <v>1</v>
      </c>
      <c r="E691" s="2"/>
      <c r="F691" s="2" t="s">
        <v>2256</v>
      </c>
      <c r="G691" s="2"/>
    </row>
    <row r="692" spans="2:7" x14ac:dyDescent="0.25">
      <c r="B692" s="2" t="s">
        <v>2257</v>
      </c>
      <c r="C692" s="2" t="s">
        <v>1715</v>
      </c>
      <c r="D692" s="2" t="s">
        <v>943</v>
      </c>
      <c r="E692" s="37">
        <v>0.3</v>
      </c>
      <c r="F692" s="2" t="s">
        <v>2258</v>
      </c>
      <c r="G692" s="2"/>
    </row>
    <row r="693" spans="2:7" x14ac:dyDescent="0.25">
      <c r="B693" s="2" t="s">
        <v>2259</v>
      </c>
      <c r="C693" s="2" t="s">
        <v>792</v>
      </c>
      <c r="D693" s="2" t="s">
        <v>1027</v>
      </c>
      <c r="E693" s="37">
        <v>0.3</v>
      </c>
      <c r="F693" s="2" t="s">
        <v>2260</v>
      </c>
      <c r="G693" s="2"/>
    </row>
    <row r="694" spans="2:7" x14ac:dyDescent="0.25">
      <c r="B694" s="2"/>
      <c r="C694" s="2" t="s">
        <v>2261</v>
      </c>
      <c r="D694" s="2" t="s">
        <v>1027</v>
      </c>
      <c r="E694" s="37">
        <v>0.3</v>
      </c>
      <c r="F694" s="2" t="s">
        <v>2262</v>
      </c>
      <c r="G694" s="2"/>
    </row>
    <row r="695" spans="2:7" x14ac:dyDescent="0.25">
      <c r="B695" s="2" t="s">
        <v>2231</v>
      </c>
      <c r="C695" s="2" t="s">
        <v>1096</v>
      </c>
      <c r="D695" s="2">
        <v>3</v>
      </c>
      <c r="E695" s="37">
        <v>0.3</v>
      </c>
      <c r="F695" s="2" t="s">
        <v>2263</v>
      </c>
      <c r="G695" s="2" t="s">
        <v>2264</v>
      </c>
    </row>
  </sheetData>
  <mergeCells count="113">
    <mergeCell ref="B684:G684"/>
    <mergeCell ref="B581:F581"/>
    <mergeCell ref="B593:F593"/>
    <mergeCell ref="B567:F567"/>
    <mergeCell ref="C632:F632"/>
    <mergeCell ref="B622:F622"/>
    <mergeCell ref="B597:F597"/>
    <mergeCell ref="C606:F606"/>
    <mergeCell ref="C607:F607"/>
    <mergeCell ref="C612:F612"/>
    <mergeCell ref="C617:F617"/>
    <mergeCell ref="C618:F618"/>
    <mergeCell ref="C613:F613"/>
    <mergeCell ref="C608:F608"/>
    <mergeCell ref="C619:F619"/>
    <mergeCell ref="C611:E611"/>
    <mergeCell ref="C609:F609"/>
    <mergeCell ref="C614:F614"/>
    <mergeCell ref="F647:G647"/>
    <mergeCell ref="F644:G644"/>
    <mergeCell ref="F645:G645"/>
    <mergeCell ref="F646:G646"/>
    <mergeCell ref="B641:F641"/>
    <mergeCell ref="F643:G643"/>
    <mergeCell ref="C543:F543"/>
    <mergeCell ref="C542:F542"/>
    <mergeCell ref="C553:F553"/>
    <mergeCell ref="C545:F545"/>
    <mergeCell ref="C557:F557"/>
    <mergeCell ref="C558:F558"/>
    <mergeCell ref="C547:F547"/>
    <mergeCell ref="C544:F544"/>
    <mergeCell ref="C556:F556"/>
    <mergeCell ref="C555:F555"/>
    <mergeCell ref="C548:F548"/>
    <mergeCell ref="C550:F550"/>
    <mergeCell ref="C552:F552"/>
    <mergeCell ref="A200:F200"/>
    <mergeCell ref="B325:F325"/>
    <mergeCell ref="B259:F259"/>
    <mergeCell ref="B239:F239"/>
    <mergeCell ref="A309:F309"/>
    <mergeCell ref="A294:F294"/>
    <mergeCell ref="B305:F305"/>
    <mergeCell ref="A263:F263"/>
    <mergeCell ref="B277:F277"/>
    <mergeCell ref="A287:F287"/>
    <mergeCell ref="A281:F281"/>
    <mergeCell ref="A243:F243"/>
    <mergeCell ref="B217:F217"/>
    <mergeCell ref="A221:F221"/>
    <mergeCell ref="A137:F137"/>
    <mergeCell ref="B155:F155"/>
    <mergeCell ref="B133:F133"/>
    <mergeCell ref="A179:F179"/>
    <mergeCell ref="B196:F196"/>
    <mergeCell ref="A108:F108"/>
    <mergeCell ref="A1:F1"/>
    <mergeCell ref="E10:F10"/>
    <mergeCell ref="A14:F14"/>
    <mergeCell ref="A26:F26"/>
    <mergeCell ref="A93:F93"/>
    <mergeCell ref="A73:F73"/>
    <mergeCell ref="E88:F88"/>
    <mergeCell ref="A58:F58"/>
    <mergeCell ref="A43:F43"/>
    <mergeCell ref="A2:F2"/>
    <mergeCell ref="D127:F127"/>
    <mergeCell ref="A159:F159"/>
    <mergeCell ref="B175:F175"/>
    <mergeCell ref="B387:F387"/>
    <mergeCell ref="A372:F372"/>
    <mergeCell ref="A363:F363"/>
    <mergeCell ref="A498:F498"/>
    <mergeCell ref="A393:F393"/>
    <mergeCell ref="A343:F343"/>
    <mergeCell ref="B355:F355"/>
    <mergeCell ref="A329:F329"/>
    <mergeCell ref="A541:F541"/>
    <mergeCell ref="A522:F522"/>
    <mergeCell ref="A420:F420"/>
    <mergeCell ref="A405:F405"/>
    <mergeCell ref="E414:F414"/>
    <mergeCell ref="A489:F489"/>
    <mergeCell ref="A479:F479"/>
    <mergeCell ref="A456:F456"/>
    <mergeCell ref="C466:D466"/>
    <mergeCell ref="A440:F440"/>
    <mergeCell ref="C453:D453"/>
    <mergeCell ref="A469:F469"/>
    <mergeCell ref="A512:F512"/>
    <mergeCell ref="F662:G662"/>
    <mergeCell ref="F663:G663"/>
    <mergeCell ref="B654:G654"/>
    <mergeCell ref="F658:G658"/>
    <mergeCell ref="F660:G660"/>
    <mergeCell ref="F657:G657"/>
    <mergeCell ref="F661:G661"/>
    <mergeCell ref="F656:G656"/>
    <mergeCell ref="F655:G655"/>
    <mergeCell ref="F659:G659"/>
    <mergeCell ref="C676:G676"/>
    <mergeCell ref="F680:G680"/>
    <mergeCell ref="C671:G671"/>
    <mergeCell ref="C672:G672"/>
    <mergeCell ref="C673:G673"/>
    <mergeCell ref="C674:G674"/>
    <mergeCell ref="C675:G675"/>
    <mergeCell ref="B666:G666"/>
    <mergeCell ref="C667:G667"/>
    <mergeCell ref="C668:G668"/>
    <mergeCell ref="C669:G669"/>
    <mergeCell ref="C670:G670"/>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44F7-046B-4338-8DBE-D67D8B88AE61}">
  <sheetPr>
    <pageSetUpPr fitToPage="1"/>
  </sheetPr>
  <dimension ref="A1:J38"/>
  <sheetViews>
    <sheetView view="pageBreakPreview" zoomScale="60" zoomScaleNormal="100" workbookViewId="0">
      <selection activeCell="J18" sqref="J18"/>
    </sheetView>
  </sheetViews>
  <sheetFormatPr defaultColWidth="8.88671875" defaultRowHeight="13.8" x14ac:dyDescent="0.3"/>
  <cols>
    <col min="1" max="1" width="5" style="248" customWidth="1"/>
    <col min="2" max="2" width="26.33203125" style="248" customWidth="1"/>
    <col min="3" max="3" width="5.33203125" style="248" customWidth="1"/>
    <col min="4" max="4" width="21.5546875" style="248" customWidth="1"/>
    <col min="5" max="5" width="14.6640625" style="248" customWidth="1"/>
    <col min="6" max="6" width="3" style="248" customWidth="1"/>
    <col min="7" max="7" width="29.33203125" style="248" customWidth="1"/>
    <col min="8" max="8" width="34.5546875" style="248" customWidth="1"/>
    <col min="9" max="16384" width="8.88671875" style="248"/>
  </cols>
  <sheetData>
    <row r="1" spans="1:8" ht="14.4" thickBot="1" x14ac:dyDescent="0.35">
      <c r="A1" s="247"/>
      <c r="B1" s="247" t="s">
        <v>1695</v>
      </c>
      <c r="C1" s="247" t="s">
        <v>1599</v>
      </c>
      <c r="D1" s="247"/>
      <c r="G1" s="272" t="s">
        <v>1694</v>
      </c>
    </row>
    <row r="2" spans="1:8" x14ac:dyDescent="0.3">
      <c r="A2" s="249">
        <v>1</v>
      </c>
      <c r="B2" s="264" t="s">
        <v>1582</v>
      </c>
      <c r="C2" s="249">
        <v>17</v>
      </c>
      <c r="D2" s="249" t="s">
        <v>1772</v>
      </c>
      <c r="E2" s="249"/>
      <c r="G2" s="271" t="s">
        <v>1684</v>
      </c>
    </row>
    <row r="3" spans="1:8" ht="27.6" x14ac:dyDescent="0.3">
      <c r="A3" s="249">
        <v>2</v>
      </c>
      <c r="B3" s="265" t="s">
        <v>1572</v>
      </c>
      <c r="C3" s="249">
        <v>30</v>
      </c>
      <c r="D3" s="249"/>
      <c r="E3" s="249"/>
      <c r="G3" s="264" t="s">
        <v>1709</v>
      </c>
      <c r="H3" s="277" t="s">
        <v>1724</v>
      </c>
    </row>
    <row r="4" spans="1:8" ht="45.6" customHeight="1" x14ac:dyDescent="0.3">
      <c r="A4" s="249">
        <v>3</v>
      </c>
      <c r="B4" s="265" t="s">
        <v>1573</v>
      </c>
      <c r="C4" s="249">
        <v>5</v>
      </c>
      <c r="D4" s="249"/>
      <c r="E4" s="249"/>
      <c r="G4" s="269" t="s">
        <v>1685</v>
      </c>
    </row>
    <row r="5" spans="1:8" ht="73.2" customHeight="1" x14ac:dyDescent="0.3">
      <c r="A5" s="249">
        <v>4</v>
      </c>
      <c r="B5" s="265" t="s">
        <v>1574</v>
      </c>
      <c r="C5" s="249">
        <v>6</v>
      </c>
      <c r="D5" s="249"/>
      <c r="E5" s="249"/>
      <c r="G5" s="269" t="s">
        <v>1688</v>
      </c>
      <c r="H5" s="277" t="s">
        <v>1707</v>
      </c>
    </row>
    <row r="6" spans="1:8" ht="52.95" customHeight="1" x14ac:dyDescent="0.3">
      <c r="A6" s="249">
        <v>5</v>
      </c>
      <c r="B6" s="265" t="s">
        <v>1575</v>
      </c>
      <c r="C6" s="249">
        <v>4</v>
      </c>
      <c r="D6" s="262" t="s">
        <v>1652</v>
      </c>
      <c r="E6" s="262" t="s">
        <v>1653</v>
      </c>
      <c r="G6" s="269" t="s">
        <v>1686</v>
      </c>
      <c r="H6" s="278" t="s">
        <v>1706</v>
      </c>
    </row>
    <row r="7" spans="1:8" ht="82.8" x14ac:dyDescent="0.3">
      <c r="A7" s="249">
        <v>6</v>
      </c>
      <c r="B7" s="265" t="s">
        <v>1576</v>
      </c>
      <c r="C7" s="249">
        <v>7</v>
      </c>
      <c r="D7" s="262" t="s">
        <v>1655</v>
      </c>
      <c r="E7" s="249"/>
      <c r="G7" s="270" t="s">
        <v>1687</v>
      </c>
      <c r="H7" s="262" t="s">
        <v>1708</v>
      </c>
    </row>
    <row r="8" spans="1:8" ht="55.2" x14ac:dyDescent="0.3">
      <c r="A8" s="249">
        <v>7</v>
      </c>
      <c r="B8" s="265" t="s">
        <v>1577</v>
      </c>
      <c r="C8" s="249">
        <v>17</v>
      </c>
      <c r="D8" s="262" t="s">
        <v>1654</v>
      </c>
      <c r="E8" s="268">
        <v>89170330442</v>
      </c>
      <c r="G8" s="279" t="s">
        <v>1689</v>
      </c>
    </row>
    <row r="9" spans="1:8" x14ac:dyDescent="0.3">
      <c r="A9" s="249">
        <v>8</v>
      </c>
      <c r="B9" s="265" t="s">
        <v>1578</v>
      </c>
      <c r="C9" s="249">
        <v>5</v>
      </c>
      <c r="D9" s="249"/>
      <c r="E9" s="249"/>
      <c r="G9" s="264" t="s">
        <v>1690</v>
      </c>
    </row>
    <row r="10" spans="1:8" ht="27.6" x14ac:dyDescent="0.3">
      <c r="A10" s="249">
        <v>9</v>
      </c>
      <c r="B10" s="266" t="s">
        <v>1579</v>
      </c>
      <c r="C10" s="249">
        <v>17</v>
      </c>
      <c r="D10" s="249"/>
      <c r="E10" s="249"/>
      <c r="G10" s="264" t="s">
        <v>1691</v>
      </c>
    </row>
    <row r="11" spans="1:8" ht="41.4" x14ac:dyDescent="0.3">
      <c r="A11" s="249">
        <v>10</v>
      </c>
      <c r="B11" s="273" t="s">
        <v>1580</v>
      </c>
      <c r="C11" s="274">
        <v>5</v>
      </c>
      <c r="D11" s="275" t="s">
        <v>1656</v>
      </c>
      <c r="E11" s="274"/>
      <c r="G11" s="264" t="s">
        <v>1692</v>
      </c>
    </row>
    <row r="12" spans="1:8" x14ac:dyDescent="0.3">
      <c r="A12" s="249">
        <v>11</v>
      </c>
      <c r="B12" s="265" t="s">
        <v>1581</v>
      </c>
      <c r="C12" s="249">
        <v>9</v>
      </c>
      <c r="D12" s="249"/>
      <c r="E12" s="249"/>
      <c r="G12" s="250"/>
    </row>
    <row r="13" spans="1:8" x14ac:dyDescent="0.3">
      <c r="A13" s="249">
        <v>12</v>
      </c>
      <c r="B13" s="265" t="s">
        <v>1583</v>
      </c>
      <c r="C13" s="249">
        <v>6</v>
      </c>
      <c r="D13" s="249"/>
      <c r="E13" s="249"/>
      <c r="G13" s="250"/>
    </row>
    <row r="16" spans="1:8" x14ac:dyDescent="0.3">
      <c r="B16" s="250" t="s">
        <v>1598</v>
      </c>
    </row>
    <row r="17" spans="2:10" ht="49.2" customHeight="1" x14ac:dyDescent="0.3">
      <c r="B17" s="276" t="s">
        <v>1701</v>
      </c>
      <c r="C17" s="380" t="s">
        <v>1658</v>
      </c>
      <c r="D17" s="380"/>
      <c r="E17" s="380"/>
      <c r="F17" s="380"/>
      <c r="G17" s="380"/>
    </row>
    <row r="18" spans="2:10" ht="30.6" customHeight="1" x14ac:dyDescent="0.3">
      <c r="B18" s="276" t="s">
        <v>1659</v>
      </c>
      <c r="C18" s="380" t="s">
        <v>1660</v>
      </c>
      <c r="D18" s="380"/>
      <c r="E18" s="380"/>
      <c r="F18" s="380"/>
      <c r="G18" s="380"/>
    </row>
    <row r="19" spans="2:10" ht="21" customHeight="1" x14ac:dyDescent="0.3">
      <c r="B19" s="276" t="s">
        <v>1657</v>
      </c>
      <c r="C19" s="381"/>
      <c r="D19" s="382"/>
      <c r="E19" s="382"/>
      <c r="F19" s="382"/>
      <c r="G19" s="383"/>
      <c r="J19" s="248" t="s">
        <v>95</v>
      </c>
    </row>
    <row r="20" spans="2:10" ht="24.6" customHeight="1" x14ac:dyDescent="0.3">
      <c r="B20" s="276" t="s">
        <v>1699</v>
      </c>
      <c r="C20" s="384" t="s">
        <v>1704</v>
      </c>
      <c r="D20" s="385"/>
      <c r="E20" s="385"/>
      <c r="F20" s="385"/>
      <c r="G20" s="386"/>
    </row>
    <row r="21" spans="2:10" x14ac:dyDescent="0.3">
      <c r="B21" s="276" t="s">
        <v>1700</v>
      </c>
      <c r="C21" s="381" t="s">
        <v>1705</v>
      </c>
      <c r="D21" s="382"/>
      <c r="E21" s="382"/>
      <c r="F21" s="382"/>
      <c r="G21" s="383"/>
    </row>
    <row r="22" spans="2:10" x14ac:dyDescent="0.3">
      <c r="B22" s="276" t="s">
        <v>1722</v>
      </c>
      <c r="C22" s="379" t="s">
        <v>1723</v>
      </c>
      <c r="D22" s="379"/>
      <c r="E22" s="379"/>
      <c r="F22" s="379"/>
      <c r="G22" s="379"/>
    </row>
    <row r="23" spans="2:10" x14ac:dyDescent="0.3">
      <c r="B23" s="276" t="s">
        <v>1702</v>
      </c>
      <c r="C23" s="379"/>
      <c r="D23" s="379"/>
      <c r="E23" s="379"/>
      <c r="F23" s="379"/>
      <c r="G23" s="379"/>
    </row>
    <row r="24" spans="2:10" x14ac:dyDescent="0.3">
      <c r="B24" s="276" t="s">
        <v>1703</v>
      </c>
      <c r="C24" s="379"/>
      <c r="D24" s="379"/>
      <c r="E24" s="379"/>
      <c r="F24" s="379"/>
      <c r="G24" s="379"/>
    </row>
    <row r="25" spans="2:10" x14ac:dyDescent="0.3">
      <c r="B25" s="267"/>
      <c r="C25" s="267"/>
      <c r="D25" s="267"/>
      <c r="E25" s="267"/>
      <c r="F25" s="267"/>
      <c r="G25" s="267"/>
    </row>
    <row r="38" spans="2:2" x14ac:dyDescent="0.3">
      <c r="B38" s="248" t="s">
        <v>95</v>
      </c>
    </row>
  </sheetData>
  <mergeCells count="8">
    <mergeCell ref="C23:G23"/>
    <mergeCell ref="C24:G24"/>
    <mergeCell ref="C17:G17"/>
    <mergeCell ref="C18:G18"/>
    <mergeCell ref="C19:G19"/>
    <mergeCell ref="C20:G20"/>
    <mergeCell ref="C21:G21"/>
    <mergeCell ref="C22:G22"/>
  </mergeCells>
  <pageMargins left="0.7" right="0.7" top="0.75" bottom="0.75" header="0.3" footer="0.3"/>
  <pageSetup paperSize="9" scale="93"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A7ED2-2DFB-4DFF-B688-448B560785C4}">
  <dimension ref="A1:J742"/>
  <sheetViews>
    <sheetView view="pageBreakPreview" topLeftCell="A688" zoomScale="98" zoomScaleNormal="100" zoomScaleSheetLayoutView="98" workbookViewId="0">
      <selection activeCell="B699" sqref="B699"/>
    </sheetView>
  </sheetViews>
  <sheetFormatPr defaultColWidth="8.88671875" defaultRowHeight="13.8" outlineLevelRow="1" x14ac:dyDescent="0.25"/>
  <cols>
    <col min="1" max="1" width="6.33203125" style="1" customWidth="1"/>
    <col min="2" max="2" width="33.6640625" style="1" customWidth="1"/>
    <col min="3" max="3" width="22.44140625" style="1" customWidth="1"/>
    <col min="4" max="4" width="13.6640625" style="1" customWidth="1"/>
    <col min="5" max="5" width="14.44140625" style="1" customWidth="1"/>
    <col min="6" max="6" width="20.88671875" style="1" customWidth="1"/>
    <col min="7" max="7" width="15.33203125" style="1" customWidth="1"/>
    <col min="8" max="16384" width="8.88671875" style="1"/>
  </cols>
  <sheetData>
    <row r="1" spans="1:8" ht="14.4" thickBot="1" x14ac:dyDescent="0.3">
      <c r="A1" s="328" t="s">
        <v>40</v>
      </c>
      <c r="B1" s="329"/>
      <c r="C1" s="329"/>
      <c r="D1" s="329"/>
      <c r="E1" s="329"/>
      <c r="F1" s="329"/>
      <c r="G1" s="330"/>
    </row>
    <row r="2" spans="1:8" x14ac:dyDescent="0.25">
      <c r="A2" s="9" t="s">
        <v>17</v>
      </c>
      <c r="B2" s="10" t="s">
        <v>0</v>
      </c>
      <c r="C2" s="11" t="s">
        <v>9</v>
      </c>
      <c r="D2" s="11" t="s">
        <v>1</v>
      </c>
      <c r="E2" s="11" t="s">
        <v>33</v>
      </c>
      <c r="F2" s="11" t="s">
        <v>2</v>
      </c>
      <c r="G2" s="11" t="s">
        <v>3</v>
      </c>
    </row>
    <row r="3" spans="1:8" x14ac:dyDescent="0.25">
      <c r="A3" s="165" t="s">
        <v>1010</v>
      </c>
      <c r="B3" s="196" t="s">
        <v>1011</v>
      </c>
      <c r="C3" s="197" t="s">
        <v>1012</v>
      </c>
      <c r="D3" s="197">
        <v>3</v>
      </c>
      <c r="E3" s="197" t="s">
        <v>1013</v>
      </c>
      <c r="F3" s="197"/>
      <c r="G3" s="21" t="s">
        <v>452</v>
      </c>
    </row>
    <row r="4" spans="1:8" x14ac:dyDescent="0.25">
      <c r="A4" s="45">
        <v>2</v>
      </c>
      <c r="B4" s="60" t="s">
        <v>229</v>
      </c>
      <c r="C4" s="45" t="s">
        <v>230</v>
      </c>
      <c r="D4" s="21">
        <v>1</v>
      </c>
      <c r="E4" s="59">
        <v>560000</v>
      </c>
      <c r="F4" s="45" t="s">
        <v>231</v>
      </c>
      <c r="G4" s="45"/>
    </row>
    <row r="5" spans="1:8" ht="14.4" customHeight="1" outlineLevel="1" x14ac:dyDescent="0.25">
      <c r="A5" s="393" t="s">
        <v>7</v>
      </c>
      <c r="B5" s="394"/>
      <c r="C5" s="394"/>
      <c r="D5" s="394"/>
      <c r="E5" s="394"/>
      <c r="F5" s="394"/>
      <c r="G5" s="395"/>
    </row>
    <row r="6" spans="1:8" outlineLevel="1" x14ac:dyDescent="0.25">
      <c r="A6" s="45" t="s">
        <v>17</v>
      </c>
      <c r="B6" s="198" t="s">
        <v>0</v>
      </c>
      <c r="C6" s="199" t="s">
        <v>9</v>
      </c>
      <c r="D6" s="199" t="s">
        <v>1</v>
      </c>
      <c r="E6" s="199" t="s">
        <v>5</v>
      </c>
      <c r="F6" s="199" t="s">
        <v>2</v>
      </c>
      <c r="G6" s="200" t="s">
        <v>3</v>
      </c>
    </row>
    <row r="7" spans="1:8" outlineLevel="1" x14ac:dyDescent="0.25">
      <c r="A7" s="21">
        <v>1</v>
      </c>
      <c r="B7" s="201" t="s">
        <v>41</v>
      </c>
      <c r="C7" s="201" t="s">
        <v>4</v>
      </c>
      <c r="D7" s="21">
        <v>2</v>
      </c>
      <c r="E7" s="21" t="s">
        <v>6</v>
      </c>
      <c r="F7" s="21"/>
      <c r="G7" s="202">
        <v>45341</v>
      </c>
    </row>
    <row r="8" spans="1:8" ht="27.6" outlineLevel="1" x14ac:dyDescent="0.25">
      <c r="A8" s="21">
        <f>A7+1</f>
        <v>2</v>
      </c>
      <c r="B8" s="201" t="s">
        <v>8</v>
      </c>
      <c r="C8" s="203" t="s">
        <v>18</v>
      </c>
      <c r="D8" s="204"/>
      <c r="E8" s="21" t="s">
        <v>10</v>
      </c>
      <c r="F8" s="45"/>
      <c r="G8" s="202">
        <v>45341</v>
      </c>
      <c r="H8" s="43"/>
    </row>
    <row r="9" spans="1:8" ht="34.950000000000003" customHeight="1" outlineLevel="1" x14ac:dyDescent="0.25">
      <c r="A9" s="21">
        <f t="shared" ref="A9:A16" si="0">A8+1</f>
        <v>3</v>
      </c>
      <c r="B9" s="201" t="s">
        <v>11</v>
      </c>
      <c r="C9" s="203" t="s">
        <v>12</v>
      </c>
      <c r="D9" s="21">
        <v>2</v>
      </c>
      <c r="E9" s="21" t="s">
        <v>13</v>
      </c>
      <c r="F9" s="45"/>
      <c r="G9" s="202">
        <v>45341</v>
      </c>
      <c r="H9" s="1" t="s">
        <v>150</v>
      </c>
    </row>
    <row r="10" spans="1:8" ht="27.6" outlineLevel="1" x14ac:dyDescent="0.25">
      <c r="A10" s="21">
        <f t="shared" si="0"/>
        <v>4</v>
      </c>
      <c r="B10" s="201" t="s">
        <v>14</v>
      </c>
      <c r="C10" s="203" t="s">
        <v>15</v>
      </c>
      <c r="D10" s="204">
        <v>2</v>
      </c>
      <c r="E10" s="21" t="s">
        <v>16</v>
      </c>
      <c r="F10" s="45"/>
      <c r="G10" s="202">
        <v>45341</v>
      </c>
    </row>
    <row r="11" spans="1:8" ht="82.8" outlineLevel="1" x14ac:dyDescent="0.25">
      <c r="A11" s="21">
        <f t="shared" si="0"/>
        <v>5</v>
      </c>
      <c r="B11" s="205" t="s">
        <v>20</v>
      </c>
      <c r="C11" s="206" t="s">
        <v>19</v>
      </c>
      <c r="D11" s="21">
        <v>2</v>
      </c>
      <c r="E11" s="21" t="s">
        <v>6</v>
      </c>
      <c r="F11" s="163" t="s">
        <v>673</v>
      </c>
      <c r="G11" s="207" t="s">
        <v>674</v>
      </c>
      <c r="H11" s="43"/>
    </row>
    <row r="12" spans="1:8" outlineLevel="1" x14ac:dyDescent="0.25">
      <c r="A12" s="21">
        <f t="shared" si="0"/>
        <v>6</v>
      </c>
      <c r="B12" s="45" t="s">
        <v>21</v>
      </c>
      <c r="C12" s="208" t="s">
        <v>22</v>
      </c>
      <c r="D12" s="21">
        <v>2</v>
      </c>
      <c r="E12" s="21" t="s">
        <v>16</v>
      </c>
      <c r="F12" s="163" t="s">
        <v>23</v>
      </c>
      <c r="G12" s="202">
        <v>45342</v>
      </c>
      <c r="H12" s="43"/>
    </row>
    <row r="13" spans="1:8" ht="69" outlineLevel="1" x14ac:dyDescent="0.25">
      <c r="A13" s="21">
        <f t="shared" si="0"/>
        <v>7</v>
      </c>
      <c r="B13" s="201" t="s">
        <v>24</v>
      </c>
      <c r="C13" s="206" t="s">
        <v>28</v>
      </c>
      <c r="D13" s="197" t="s">
        <v>25</v>
      </c>
      <c r="E13" s="21" t="s">
        <v>26</v>
      </c>
      <c r="F13" s="163" t="s">
        <v>27</v>
      </c>
      <c r="G13" s="202">
        <v>45342</v>
      </c>
      <c r="H13" s="43"/>
    </row>
    <row r="14" spans="1:8" outlineLevel="1" x14ac:dyDescent="0.25">
      <c r="A14" s="21">
        <f t="shared" si="0"/>
        <v>8</v>
      </c>
      <c r="B14" s="45" t="s">
        <v>29</v>
      </c>
      <c r="C14" s="208" t="s">
        <v>30</v>
      </c>
      <c r="D14" s="21">
        <v>4</v>
      </c>
      <c r="E14" s="21" t="s">
        <v>31</v>
      </c>
      <c r="F14" s="45" t="s">
        <v>32</v>
      </c>
      <c r="G14" s="209">
        <v>45342</v>
      </c>
      <c r="H14" s="43"/>
    </row>
    <row r="15" spans="1:8" ht="27.6" outlineLevel="1" x14ac:dyDescent="0.25">
      <c r="A15" s="21">
        <f t="shared" si="0"/>
        <v>9</v>
      </c>
      <c r="B15" s="21" t="s">
        <v>34</v>
      </c>
      <c r="C15" s="197" t="s">
        <v>43</v>
      </c>
      <c r="D15" s="197" t="s">
        <v>35</v>
      </c>
      <c r="E15" s="21" t="s">
        <v>31</v>
      </c>
      <c r="F15" s="197" t="s">
        <v>36</v>
      </c>
      <c r="G15" s="210">
        <v>45343</v>
      </c>
    </row>
    <row r="16" spans="1:8" ht="27.6" outlineLevel="1" x14ac:dyDescent="0.25">
      <c r="A16" s="21">
        <f t="shared" si="0"/>
        <v>10</v>
      </c>
      <c r="B16" s="21" t="s">
        <v>37</v>
      </c>
      <c r="C16" s="197" t="s">
        <v>38</v>
      </c>
      <c r="D16" s="21">
        <v>1</v>
      </c>
      <c r="E16" s="21" t="s">
        <v>31</v>
      </c>
      <c r="F16" s="197" t="s">
        <v>39</v>
      </c>
      <c r="G16" s="210">
        <v>45343</v>
      </c>
      <c r="H16" s="43"/>
    </row>
    <row r="17" spans="1:8" ht="14.4" thickBot="1" x14ac:dyDescent="0.3">
      <c r="A17" s="44">
        <v>3</v>
      </c>
      <c r="B17" s="212" t="s">
        <v>1014</v>
      </c>
      <c r="C17" s="44" t="s">
        <v>1015</v>
      </c>
      <c r="D17" s="211" t="s">
        <v>943</v>
      </c>
      <c r="E17" s="44" t="s">
        <v>1016</v>
      </c>
      <c r="F17" s="44"/>
      <c r="G17" s="44"/>
    </row>
    <row r="18" spans="1:8" ht="14.4" outlineLevel="1" thickBot="1" x14ac:dyDescent="0.3">
      <c r="A18" s="328" t="s">
        <v>54</v>
      </c>
      <c r="B18" s="329"/>
      <c r="C18" s="329"/>
      <c r="D18" s="329"/>
      <c r="E18" s="329"/>
      <c r="F18" s="329"/>
      <c r="G18" s="330"/>
    </row>
    <row r="19" spans="1:8" ht="27.6" outlineLevel="1" x14ac:dyDescent="0.25">
      <c r="A19" s="24">
        <v>1</v>
      </c>
      <c r="B19" s="9" t="s">
        <v>55</v>
      </c>
      <c r="C19" s="33" t="s">
        <v>57</v>
      </c>
      <c r="D19" s="26" t="s">
        <v>56</v>
      </c>
      <c r="E19" s="34">
        <v>0.25</v>
      </c>
      <c r="F19" s="9"/>
      <c r="G19" s="35">
        <v>45362</v>
      </c>
    </row>
    <row r="20" spans="1:8" outlineLevel="1" x14ac:dyDescent="0.25">
      <c r="A20" s="4">
        <f>A19+1</f>
        <v>2</v>
      </c>
      <c r="B20" s="2" t="s">
        <v>58</v>
      </c>
      <c r="C20" s="2" t="s">
        <v>51</v>
      </c>
      <c r="D20" s="4">
        <v>2</v>
      </c>
      <c r="E20" s="16">
        <v>0.15</v>
      </c>
      <c r="F20" s="2"/>
      <c r="G20" s="18">
        <v>45364</v>
      </c>
    </row>
    <row r="21" spans="1:8" ht="27.6" outlineLevel="1" x14ac:dyDescent="0.25">
      <c r="A21" s="4">
        <f t="shared" ref="A21:A28" si="1">A20+1</f>
        <v>3</v>
      </c>
      <c r="B21" s="14" t="s">
        <v>61</v>
      </c>
      <c r="C21" s="12" t="s">
        <v>77</v>
      </c>
      <c r="D21" s="7" t="s">
        <v>76</v>
      </c>
      <c r="E21" s="16">
        <v>0.3</v>
      </c>
      <c r="F21" s="14" t="s">
        <v>91</v>
      </c>
      <c r="G21" s="32">
        <v>45364</v>
      </c>
    </row>
    <row r="22" spans="1:8" outlineLevel="1" x14ac:dyDescent="0.25">
      <c r="A22" s="4">
        <f t="shared" si="1"/>
        <v>4</v>
      </c>
      <c r="B22" s="2" t="s">
        <v>62</v>
      </c>
      <c r="C22" s="2" t="s">
        <v>51</v>
      </c>
      <c r="D22" s="3">
        <v>2</v>
      </c>
      <c r="E22" s="17">
        <v>0.15</v>
      </c>
      <c r="F22" s="2" t="s">
        <v>79</v>
      </c>
      <c r="G22" s="18">
        <v>45364</v>
      </c>
    </row>
    <row r="23" spans="1:8" ht="27.6" outlineLevel="1" x14ac:dyDescent="0.25">
      <c r="A23" s="4">
        <f t="shared" si="1"/>
        <v>5</v>
      </c>
      <c r="B23" s="2" t="s">
        <v>97</v>
      </c>
      <c r="C23" s="5" t="s">
        <v>72</v>
      </c>
      <c r="D23" s="30" t="s">
        <v>63</v>
      </c>
      <c r="E23" s="3"/>
      <c r="F23" s="5" t="s">
        <v>64</v>
      </c>
      <c r="G23" s="18">
        <v>45365</v>
      </c>
    </row>
    <row r="24" spans="1:8" ht="27.6" outlineLevel="1" x14ac:dyDescent="0.25">
      <c r="A24" s="4">
        <f t="shared" si="1"/>
        <v>6</v>
      </c>
      <c r="B24" s="2" t="s">
        <v>66</v>
      </c>
      <c r="C24" s="5" t="s">
        <v>80</v>
      </c>
      <c r="D24" s="3">
        <v>1</v>
      </c>
      <c r="E24" s="17">
        <v>0.25</v>
      </c>
      <c r="F24" s="2"/>
      <c r="G24" s="18">
        <v>45366</v>
      </c>
      <c r="H24" s="1">
        <v>1</v>
      </c>
    </row>
    <row r="25" spans="1:8" ht="27.6" outlineLevel="1" x14ac:dyDescent="0.25">
      <c r="A25" s="4">
        <f t="shared" si="1"/>
        <v>7</v>
      </c>
      <c r="B25" s="2" t="s">
        <v>96</v>
      </c>
      <c r="C25" s="5" t="s">
        <v>71</v>
      </c>
      <c r="D25" s="4">
        <v>4</v>
      </c>
      <c r="E25" s="16">
        <v>0.2</v>
      </c>
      <c r="F25" s="2"/>
      <c r="G25" s="18">
        <v>45366</v>
      </c>
      <c r="H25" s="1">
        <v>2</v>
      </c>
    </row>
    <row r="26" spans="1:8" ht="27.6" outlineLevel="1" x14ac:dyDescent="0.25">
      <c r="A26" s="4">
        <f t="shared" si="1"/>
        <v>8</v>
      </c>
      <c r="B26" s="2" t="s">
        <v>68</v>
      </c>
      <c r="C26" s="5" t="s">
        <v>73</v>
      </c>
      <c r="D26" s="3">
        <v>1</v>
      </c>
      <c r="E26" s="17">
        <v>0.25</v>
      </c>
      <c r="F26" s="2" t="s">
        <v>78</v>
      </c>
      <c r="G26" s="18">
        <v>45366</v>
      </c>
      <c r="H26" s="1">
        <v>3</v>
      </c>
    </row>
    <row r="27" spans="1:8" ht="27.6" outlineLevel="1" x14ac:dyDescent="0.25">
      <c r="A27" s="4">
        <f t="shared" si="1"/>
        <v>9</v>
      </c>
      <c r="B27" s="5" t="s">
        <v>70</v>
      </c>
      <c r="C27" s="8" t="s">
        <v>69</v>
      </c>
      <c r="D27" s="3">
        <v>1</v>
      </c>
      <c r="E27" s="17">
        <v>0.2</v>
      </c>
      <c r="F27" s="2"/>
      <c r="G27" s="18">
        <v>45366</v>
      </c>
      <c r="H27" s="1">
        <v>4</v>
      </c>
    </row>
    <row r="28" spans="1:8" outlineLevel="1" x14ac:dyDescent="0.25">
      <c r="A28" s="4">
        <f t="shared" si="1"/>
        <v>10</v>
      </c>
      <c r="B28" s="2" t="s">
        <v>74</v>
      </c>
      <c r="C28" s="2" t="s">
        <v>93</v>
      </c>
      <c r="D28" s="3">
        <v>1</v>
      </c>
      <c r="E28" s="14" t="s">
        <v>92</v>
      </c>
      <c r="F28" s="130" t="s">
        <v>675</v>
      </c>
      <c r="G28" s="18">
        <v>45366</v>
      </c>
      <c r="H28" s="1">
        <v>5</v>
      </c>
    </row>
    <row r="29" spans="1:8" ht="27.6" outlineLevel="1" x14ac:dyDescent="0.25">
      <c r="A29" s="4">
        <v>11</v>
      </c>
      <c r="B29" s="8" t="s">
        <v>81</v>
      </c>
      <c r="C29" s="5" t="s">
        <v>82</v>
      </c>
      <c r="D29" s="4">
        <v>3</v>
      </c>
      <c r="E29" s="16">
        <v>0.3</v>
      </c>
      <c r="F29" s="2"/>
      <c r="G29" s="32" t="s">
        <v>83</v>
      </c>
    </row>
    <row r="30" spans="1:8" outlineLevel="1" x14ac:dyDescent="0.25">
      <c r="A30" s="27"/>
      <c r="B30" s="28"/>
      <c r="C30" s="28"/>
      <c r="D30" s="28"/>
      <c r="E30" s="28"/>
      <c r="F30" s="28"/>
      <c r="G30" s="29"/>
    </row>
    <row r="31" spans="1:8" outlineLevel="1" x14ac:dyDescent="0.25">
      <c r="B31" s="1" t="s">
        <v>84</v>
      </c>
    </row>
    <row r="32" spans="1:8" outlineLevel="1" x14ac:dyDescent="0.25">
      <c r="B32" s="1" t="s">
        <v>85</v>
      </c>
    </row>
    <row r="33" spans="1:8" outlineLevel="1" x14ac:dyDescent="0.25">
      <c r="B33" s="1" t="s">
        <v>89</v>
      </c>
      <c r="E33" s="1" t="s">
        <v>95</v>
      </c>
    </row>
    <row r="34" spans="1:8" outlineLevel="1" x14ac:dyDescent="0.25">
      <c r="B34" s="1" t="s">
        <v>90</v>
      </c>
    </row>
    <row r="35" spans="1:8" outlineLevel="1" x14ac:dyDescent="0.25">
      <c r="B35" s="1" t="s">
        <v>86</v>
      </c>
    </row>
    <row r="36" spans="1:8" outlineLevel="1" x14ac:dyDescent="0.25">
      <c r="B36" s="1" t="s">
        <v>88</v>
      </c>
    </row>
    <row r="37" spans="1:8" outlineLevel="1" x14ac:dyDescent="0.25"/>
    <row r="38" spans="1:8" outlineLevel="1" x14ac:dyDescent="0.25"/>
    <row r="39" spans="1:8" ht="27.6" outlineLevel="1" x14ac:dyDescent="0.25">
      <c r="B39" s="31" t="s">
        <v>65</v>
      </c>
      <c r="C39" s="28" t="s">
        <v>75</v>
      </c>
      <c r="D39" s="28"/>
      <c r="E39" s="28"/>
      <c r="F39" s="28"/>
    </row>
    <row r="40" spans="1:8" outlineLevel="1" x14ac:dyDescent="0.25">
      <c r="B40" s="28" t="s">
        <v>87</v>
      </c>
      <c r="C40" s="28" t="s">
        <v>67</v>
      </c>
      <c r="D40" s="28"/>
      <c r="E40" s="28"/>
      <c r="F40" s="28"/>
    </row>
    <row r="41" spans="1:8" outlineLevel="1" x14ac:dyDescent="0.25">
      <c r="B41" s="28" t="s">
        <v>59</v>
      </c>
      <c r="C41" s="28" t="s">
        <v>60</v>
      </c>
      <c r="D41" s="28"/>
      <c r="E41" s="28"/>
      <c r="F41" s="28"/>
    </row>
    <row r="42" spans="1:8" ht="14.4" thickBot="1" x14ac:dyDescent="0.3"/>
    <row r="43" spans="1:8" outlineLevel="1" x14ac:dyDescent="0.25">
      <c r="A43" s="325" t="s">
        <v>94</v>
      </c>
      <c r="B43" s="326"/>
      <c r="C43" s="326"/>
      <c r="D43" s="326"/>
      <c r="E43" s="326"/>
      <c r="F43" s="326"/>
      <c r="G43" s="327"/>
    </row>
    <row r="44" spans="1:8" ht="86.4" customHeight="1" outlineLevel="1" x14ac:dyDescent="0.25">
      <c r="A44" s="19">
        <v>1</v>
      </c>
      <c r="B44" s="19" t="s">
        <v>103</v>
      </c>
      <c r="C44" s="6" t="s">
        <v>105</v>
      </c>
      <c r="D44" s="7" t="s">
        <v>106</v>
      </c>
      <c r="E44" s="36">
        <v>0.25</v>
      </c>
      <c r="F44" s="6" t="s">
        <v>107</v>
      </c>
      <c r="G44" s="20">
        <v>45369</v>
      </c>
      <c r="H44" s="1">
        <v>1</v>
      </c>
    </row>
    <row r="45" spans="1:8" outlineLevel="1" x14ac:dyDescent="0.25">
      <c r="A45" s="19">
        <v>2</v>
      </c>
      <c r="B45" s="2" t="s">
        <v>62</v>
      </c>
      <c r="C45" s="2" t="s">
        <v>102</v>
      </c>
      <c r="D45" s="4">
        <v>1</v>
      </c>
      <c r="E45" s="37">
        <v>0.3</v>
      </c>
      <c r="F45" s="2"/>
      <c r="G45" s="18">
        <v>45370</v>
      </c>
    </row>
    <row r="46" spans="1:8" outlineLevel="1" x14ac:dyDescent="0.25">
      <c r="A46" s="19">
        <v>3</v>
      </c>
      <c r="B46" s="2" t="s">
        <v>101</v>
      </c>
      <c r="C46" s="2" t="s">
        <v>31</v>
      </c>
      <c r="D46" s="2"/>
      <c r="E46" s="37">
        <v>0.25</v>
      </c>
      <c r="F46" s="2" t="s">
        <v>115</v>
      </c>
      <c r="G46" s="18">
        <v>45370</v>
      </c>
    </row>
    <row r="47" spans="1:8" outlineLevel="1" x14ac:dyDescent="0.25">
      <c r="A47" s="19">
        <v>4</v>
      </c>
      <c r="B47" s="2" t="s">
        <v>100</v>
      </c>
      <c r="C47" s="2" t="s">
        <v>99</v>
      </c>
      <c r="D47" s="4">
        <v>1</v>
      </c>
      <c r="E47" s="37">
        <v>0.3</v>
      </c>
      <c r="F47" s="2"/>
      <c r="G47" s="18">
        <v>45371</v>
      </c>
    </row>
    <row r="48" spans="1:8" ht="27.6" outlineLevel="1" x14ac:dyDescent="0.25">
      <c r="A48" s="19">
        <v>5</v>
      </c>
      <c r="B48" s="8" t="s">
        <v>98</v>
      </c>
      <c r="C48" s="5" t="s">
        <v>108</v>
      </c>
      <c r="D48" s="7" t="s">
        <v>106</v>
      </c>
      <c r="E48" s="37">
        <v>0.2</v>
      </c>
      <c r="F48" s="5" t="s">
        <v>121</v>
      </c>
      <c r="G48" s="18">
        <v>45372</v>
      </c>
    </row>
    <row r="49" spans="1:7" ht="27.6" outlineLevel="1" x14ac:dyDescent="0.25">
      <c r="A49" s="19">
        <v>6</v>
      </c>
      <c r="B49" s="2" t="s">
        <v>53</v>
      </c>
      <c r="C49" s="5" t="s">
        <v>110</v>
      </c>
      <c r="D49" s="7" t="s">
        <v>109</v>
      </c>
      <c r="E49" s="37">
        <v>0.25</v>
      </c>
      <c r="F49" s="2"/>
      <c r="G49" s="18">
        <v>45372</v>
      </c>
    </row>
    <row r="50" spans="1:7" ht="27.6" outlineLevel="1" x14ac:dyDescent="0.25">
      <c r="A50" s="19">
        <v>7</v>
      </c>
      <c r="B50" s="2" t="s">
        <v>104</v>
      </c>
      <c r="C50" s="5" t="s">
        <v>111</v>
      </c>
      <c r="D50" s="7" t="s">
        <v>106</v>
      </c>
      <c r="E50" s="37">
        <v>0.25</v>
      </c>
      <c r="F50" s="2"/>
      <c r="G50" s="18">
        <v>45372</v>
      </c>
    </row>
    <row r="51" spans="1:7" outlineLevel="1" x14ac:dyDescent="0.25">
      <c r="A51" s="2">
        <v>8</v>
      </c>
      <c r="B51" s="2" t="s">
        <v>112</v>
      </c>
      <c r="C51" s="2" t="s">
        <v>113</v>
      </c>
      <c r="D51" s="4">
        <v>1</v>
      </c>
      <c r="E51" s="37">
        <v>0.3</v>
      </c>
      <c r="F51" s="2" t="s">
        <v>122</v>
      </c>
      <c r="G51" s="18">
        <v>45373</v>
      </c>
    </row>
    <row r="52" spans="1:7" outlineLevel="1" x14ac:dyDescent="0.25">
      <c r="A52" s="2">
        <v>9</v>
      </c>
      <c r="B52" s="2" t="s">
        <v>81</v>
      </c>
      <c r="C52" s="2" t="s">
        <v>114</v>
      </c>
      <c r="D52" s="4">
        <v>2</v>
      </c>
      <c r="E52" s="37">
        <v>0.25</v>
      </c>
      <c r="F52" s="2"/>
      <c r="G52" s="18">
        <v>45373</v>
      </c>
    </row>
    <row r="53" spans="1:7" outlineLevel="1" x14ac:dyDescent="0.25"/>
    <row r="54" spans="1:7" outlineLevel="1" x14ac:dyDescent="0.25">
      <c r="B54" s="1" t="s">
        <v>116</v>
      </c>
    </row>
    <row r="55" spans="1:7" outlineLevel="1" x14ac:dyDescent="0.25">
      <c r="B55" s="1" t="s">
        <v>117</v>
      </c>
    </row>
    <row r="56" spans="1:7" outlineLevel="1" x14ac:dyDescent="0.25">
      <c r="B56" s="1" t="s">
        <v>118</v>
      </c>
    </row>
    <row r="57" spans="1:7" outlineLevel="1" x14ac:dyDescent="0.25">
      <c r="B57" s="1" t="s">
        <v>119</v>
      </c>
    </row>
    <row r="58" spans="1:7" outlineLevel="1" x14ac:dyDescent="0.25">
      <c r="B58" s="1" t="s">
        <v>86</v>
      </c>
    </row>
    <row r="59" spans="1:7" outlineLevel="1" x14ac:dyDescent="0.25">
      <c r="B59" s="38" t="s">
        <v>120</v>
      </c>
    </row>
    <row r="60" spans="1:7" outlineLevel="1" x14ac:dyDescent="0.25"/>
    <row r="61" spans="1:7" outlineLevel="1" x14ac:dyDescent="0.25">
      <c r="B61" s="1" t="s">
        <v>123</v>
      </c>
      <c r="C61" s="39">
        <v>445000</v>
      </c>
    </row>
    <row r="62" spans="1:7" outlineLevel="1" x14ac:dyDescent="0.25">
      <c r="B62" s="1" t="s">
        <v>124</v>
      </c>
      <c r="C62" s="39">
        <v>453600</v>
      </c>
      <c r="D62" s="1" t="s">
        <v>125</v>
      </c>
    </row>
    <row r="63" spans="1:7" ht="14.4" outlineLevel="1" thickBot="1" x14ac:dyDescent="0.3"/>
    <row r="64" spans="1:7" ht="14.4" outlineLevel="1" thickBot="1" x14ac:dyDescent="0.3">
      <c r="A64" s="328" t="s">
        <v>126</v>
      </c>
      <c r="B64" s="329"/>
      <c r="C64" s="329"/>
      <c r="D64" s="329"/>
      <c r="E64" s="329"/>
      <c r="F64" s="329"/>
      <c r="G64" s="330"/>
    </row>
    <row r="65" spans="1:8" outlineLevel="1" x14ac:dyDescent="0.25">
      <c r="A65" s="9">
        <v>1</v>
      </c>
      <c r="B65" s="41" t="s">
        <v>127</v>
      </c>
      <c r="C65" s="9" t="s">
        <v>128</v>
      </c>
      <c r="D65" s="9">
        <v>5</v>
      </c>
      <c r="E65" s="40">
        <v>0.25</v>
      </c>
      <c r="F65" s="9"/>
      <c r="G65" s="35">
        <v>45379</v>
      </c>
    </row>
    <row r="66" spans="1:8" outlineLevel="1" x14ac:dyDescent="0.25">
      <c r="A66" s="2">
        <v>2</v>
      </c>
      <c r="B66" s="2" t="s">
        <v>129</v>
      </c>
      <c r="C66" s="2" t="s">
        <v>135</v>
      </c>
      <c r="D66" s="2">
        <v>2</v>
      </c>
      <c r="E66" s="37">
        <v>0.2</v>
      </c>
      <c r="F66" s="2"/>
      <c r="G66" s="18">
        <v>45377</v>
      </c>
      <c r="H66" s="1">
        <v>1</v>
      </c>
    </row>
    <row r="67" spans="1:8" outlineLevel="1" x14ac:dyDescent="0.25">
      <c r="A67" s="2">
        <v>3</v>
      </c>
      <c r="B67" s="2" t="s">
        <v>130</v>
      </c>
      <c r="C67" s="2" t="s">
        <v>132</v>
      </c>
      <c r="D67" s="2">
        <v>2</v>
      </c>
      <c r="E67" s="37">
        <v>0.25</v>
      </c>
      <c r="F67" s="2"/>
      <c r="G67" s="18">
        <v>45376</v>
      </c>
    </row>
    <row r="68" spans="1:8" outlineLevel="1" x14ac:dyDescent="0.25">
      <c r="A68" s="2">
        <v>4</v>
      </c>
      <c r="B68" s="2" t="s">
        <v>130</v>
      </c>
      <c r="C68" s="2" t="s">
        <v>133</v>
      </c>
      <c r="D68" s="2">
        <v>1</v>
      </c>
      <c r="E68" s="37">
        <v>0.25</v>
      </c>
      <c r="F68" s="2"/>
      <c r="G68" s="18">
        <v>45376</v>
      </c>
    </row>
    <row r="69" spans="1:8" outlineLevel="1" x14ac:dyDescent="0.25">
      <c r="A69" s="2">
        <v>5</v>
      </c>
      <c r="B69" s="2" t="s">
        <v>138</v>
      </c>
      <c r="C69" s="2" t="s">
        <v>134</v>
      </c>
      <c r="D69" s="2">
        <v>3</v>
      </c>
      <c r="E69" s="37">
        <v>0.3</v>
      </c>
      <c r="F69" s="2"/>
      <c r="G69" s="18">
        <v>45380</v>
      </c>
      <c r="H69" s="1">
        <v>2</v>
      </c>
    </row>
    <row r="70" spans="1:8" outlineLevel="1" x14ac:dyDescent="0.25">
      <c r="A70" s="2">
        <v>6</v>
      </c>
      <c r="B70" s="2" t="s">
        <v>136</v>
      </c>
      <c r="C70" s="2" t="s">
        <v>131</v>
      </c>
      <c r="D70" s="2">
        <v>2</v>
      </c>
      <c r="E70" s="37">
        <v>0.3</v>
      </c>
      <c r="F70" s="2"/>
      <c r="G70" s="18">
        <v>45378</v>
      </c>
    </row>
    <row r="71" spans="1:8" outlineLevel="1" x14ac:dyDescent="0.25">
      <c r="A71" s="2">
        <v>7</v>
      </c>
      <c r="B71" s="2" t="s">
        <v>144</v>
      </c>
      <c r="C71" s="2" t="s">
        <v>128</v>
      </c>
      <c r="D71" s="2">
        <v>2</v>
      </c>
      <c r="E71" s="37">
        <v>0.25</v>
      </c>
      <c r="F71" s="2"/>
      <c r="G71" s="18">
        <v>45380</v>
      </c>
    </row>
    <row r="72" spans="1:8" outlineLevel="1" x14ac:dyDescent="0.25"/>
    <row r="73" spans="1:8" outlineLevel="1" x14ac:dyDescent="0.25">
      <c r="B73" s="1" t="s">
        <v>145</v>
      </c>
    </row>
    <row r="74" spans="1:8" outlineLevel="1" x14ac:dyDescent="0.25">
      <c r="B74" s="1" t="s">
        <v>146</v>
      </c>
    </row>
    <row r="75" spans="1:8" outlineLevel="1" x14ac:dyDescent="0.25">
      <c r="B75" s="1" t="s">
        <v>147</v>
      </c>
    </row>
    <row r="76" spans="1:8" outlineLevel="1" x14ac:dyDescent="0.25">
      <c r="B76" s="1" t="s">
        <v>119</v>
      </c>
    </row>
    <row r="77" spans="1:8" outlineLevel="1" x14ac:dyDescent="0.25">
      <c r="B77" s="1" t="s">
        <v>86</v>
      </c>
    </row>
    <row r="78" spans="1:8" outlineLevel="1" x14ac:dyDescent="0.25">
      <c r="B78" s="38" t="s">
        <v>137</v>
      </c>
    </row>
    <row r="79" spans="1:8" outlineLevel="1" x14ac:dyDescent="0.25"/>
    <row r="80" spans="1:8" outlineLevel="1" x14ac:dyDescent="0.25">
      <c r="B80" s="1" t="s">
        <v>124</v>
      </c>
      <c r="C80" s="42">
        <v>453600</v>
      </c>
      <c r="D80" s="1" t="s">
        <v>125</v>
      </c>
    </row>
    <row r="81" spans="1:7" ht="14.4" thickBot="1" x14ac:dyDescent="0.3"/>
    <row r="82" spans="1:7" outlineLevel="1" x14ac:dyDescent="0.25">
      <c r="A82" s="325" t="s">
        <v>142</v>
      </c>
      <c r="B82" s="326"/>
      <c r="C82" s="326"/>
      <c r="D82" s="326"/>
      <c r="E82" s="326"/>
      <c r="F82" s="326"/>
      <c r="G82" s="327"/>
    </row>
    <row r="83" spans="1:7" outlineLevel="1" x14ac:dyDescent="0.25">
      <c r="A83" s="2">
        <v>1</v>
      </c>
      <c r="B83" s="2" t="s">
        <v>139</v>
      </c>
      <c r="C83" s="2" t="s">
        <v>140</v>
      </c>
      <c r="D83" s="2">
        <v>2</v>
      </c>
      <c r="E83" s="37">
        <v>0.25</v>
      </c>
      <c r="F83" s="2"/>
      <c r="G83" s="18">
        <v>45383</v>
      </c>
    </row>
    <row r="84" spans="1:7" outlineLevel="1" x14ac:dyDescent="0.25">
      <c r="A84" s="2">
        <v>2</v>
      </c>
      <c r="B84" s="2" t="s">
        <v>143</v>
      </c>
      <c r="C84" s="2" t="s">
        <v>141</v>
      </c>
      <c r="D84" s="2">
        <v>1</v>
      </c>
      <c r="E84" s="37">
        <v>0.25</v>
      </c>
      <c r="F84" s="2" t="s">
        <v>95</v>
      </c>
      <c r="G84" s="18">
        <v>45383</v>
      </c>
    </row>
    <row r="85" spans="1:7" outlineLevel="1" x14ac:dyDescent="0.25">
      <c r="A85" s="2">
        <v>3</v>
      </c>
      <c r="B85" s="2" t="s">
        <v>149</v>
      </c>
      <c r="C85" s="2" t="s">
        <v>148</v>
      </c>
      <c r="D85" s="2"/>
      <c r="E85" s="2"/>
      <c r="F85" s="2"/>
      <c r="G85" s="18">
        <v>45383</v>
      </c>
    </row>
    <row r="86" spans="1:7" outlineLevel="1" x14ac:dyDescent="0.25">
      <c r="A86" s="2">
        <v>4</v>
      </c>
      <c r="B86" s="2" t="s">
        <v>81</v>
      </c>
      <c r="C86" s="2"/>
      <c r="D86" s="2"/>
      <c r="E86" s="2"/>
      <c r="F86" s="2"/>
      <c r="G86" s="18">
        <v>45384</v>
      </c>
    </row>
    <row r="87" spans="1:7" ht="27.6" outlineLevel="1" x14ac:dyDescent="0.25">
      <c r="A87" s="2">
        <v>5</v>
      </c>
      <c r="B87" s="19" t="s">
        <v>151</v>
      </c>
      <c r="C87" s="5" t="s">
        <v>168</v>
      </c>
      <c r="D87" s="2">
        <v>1</v>
      </c>
      <c r="E87" s="2" t="s">
        <v>152</v>
      </c>
      <c r="F87" s="2"/>
      <c r="G87" s="18">
        <v>45384</v>
      </c>
    </row>
    <row r="88" spans="1:7" outlineLevel="1" x14ac:dyDescent="0.25">
      <c r="A88" s="2">
        <v>6</v>
      </c>
      <c r="B88" s="2" t="s">
        <v>159</v>
      </c>
      <c r="C88" s="2" t="s">
        <v>166</v>
      </c>
      <c r="D88" s="2">
        <v>1</v>
      </c>
      <c r="E88" s="2"/>
      <c r="F88" s="2"/>
      <c r="G88" s="18">
        <v>45385</v>
      </c>
    </row>
    <row r="89" spans="1:7" outlineLevel="1" x14ac:dyDescent="0.25">
      <c r="A89" s="2">
        <v>7</v>
      </c>
      <c r="B89" s="2" t="s">
        <v>155</v>
      </c>
      <c r="C89" s="2" t="s">
        <v>158</v>
      </c>
      <c r="D89" s="2"/>
      <c r="E89" s="2"/>
      <c r="F89" s="2"/>
      <c r="G89" s="18">
        <v>45385</v>
      </c>
    </row>
    <row r="90" spans="1:7" ht="27.6" outlineLevel="1" x14ac:dyDescent="0.25">
      <c r="A90" s="2">
        <v>8</v>
      </c>
      <c r="B90" s="2" t="s">
        <v>112</v>
      </c>
      <c r="C90" s="5" t="s">
        <v>172</v>
      </c>
      <c r="D90" s="48" t="s">
        <v>173</v>
      </c>
      <c r="E90" s="2"/>
      <c r="F90" s="2"/>
      <c r="G90" s="18">
        <v>45385</v>
      </c>
    </row>
    <row r="91" spans="1:7" outlineLevel="1" x14ac:dyDescent="0.25">
      <c r="A91" s="2">
        <v>9</v>
      </c>
      <c r="B91" s="2" t="s">
        <v>156</v>
      </c>
      <c r="C91" s="2" t="s">
        <v>157</v>
      </c>
      <c r="D91" s="2"/>
      <c r="E91" s="2"/>
      <c r="F91" s="2"/>
      <c r="G91" s="18">
        <v>45385</v>
      </c>
    </row>
    <row r="92" spans="1:7" outlineLevel="1" x14ac:dyDescent="0.25">
      <c r="A92" s="2">
        <v>10</v>
      </c>
      <c r="B92" s="45" t="s">
        <v>160</v>
      </c>
      <c r="C92" s="45" t="s">
        <v>174</v>
      </c>
      <c r="D92" s="45">
        <v>4</v>
      </c>
      <c r="E92" s="46">
        <v>0.25</v>
      </c>
      <c r="F92" s="45" t="s">
        <v>161</v>
      </c>
      <c r="G92" s="47">
        <v>45386</v>
      </c>
    </row>
    <row r="93" spans="1:7" outlineLevel="1" x14ac:dyDescent="0.25">
      <c r="A93" s="2">
        <v>11</v>
      </c>
      <c r="B93" s="2" t="s">
        <v>162</v>
      </c>
      <c r="C93" s="2" t="s">
        <v>169</v>
      </c>
      <c r="D93" s="2"/>
      <c r="E93" s="2"/>
      <c r="F93" s="2"/>
      <c r="G93" s="18">
        <v>45386</v>
      </c>
    </row>
    <row r="94" spans="1:7" outlineLevel="1" x14ac:dyDescent="0.25">
      <c r="A94" s="2">
        <v>12</v>
      </c>
      <c r="B94" s="2" t="s">
        <v>143</v>
      </c>
      <c r="C94" s="2" t="s">
        <v>170</v>
      </c>
      <c r="D94" s="2"/>
      <c r="E94" s="2"/>
      <c r="F94" s="2"/>
      <c r="G94" s="18">
        <v>45387</v>
      </c>
    </row>
    <row r="95" spans="1:7" outlineLevel="1" x14ac:dyDescent="0.25">
      <c r="A95" s="28"/>
      <c r="B95" s="28"/>
      <c r="C95" s="28"/>
      <c r="D95" s="28"/>
      <c r="E95" s="28"/>
      <c r="F95" s="28"/>
      <c r="G95" s="28"/>
    </row>
    <row r="96" spans="1:7" outlineLevel="1" x14ac:dyDescent="0.25">
      <c r="B96" s="1" t="s">
        <v>171</v>
      </c>
    </row>
    <row r="97" spans="1:10" outlineLevel="1" x14ac:dyDescent="0.25">
      <c r="B97" s="1" t="s">
        <v>85</v>
      </c>
    </row>
    <row r="98" spans="1:10" outlineLevel="1" x14ac:dyDescent="0.25">
      <c r="B98" s="1" t="s">
        <v>167</v>
      </c>
    </row>
    <row r="99" spans="1:10" outlineLevel="1" x14ac:dyDescent="0.25">
      <c r="B99" s="1" t="s">
        <v>165</v>
      </c>
    </row>
    <row r="100" spans="1:10" outlineLevel="1" x14ac:dyDescent="0.25">
      <c r="B100" s="44" t="s">
        <v>164</v>
      </c>
    </row>
    <row r="101" spans="1:10" outlineLevel="1" x14ac:dyDescent="0.25">
      <c r="B101" s="44" t="s">
        <v>163</v>
      </c>
    </row>
    <row r="102" spans="1:10" outlineLevel="1" x14ac:dyDescent="0.25">
      <c r="B102" s="1" t="s">
        <v>153</v>
      </c>
    </row>
    <row r="103" spans="1:10" outlineLevel="1" x14ac:dyDescent="0.25">
      <c r="B103" s="38" t="s">
        <v>154</v>
      </c>
    </row>
    <row r="104" spans="1:10" outlineLevel="1" x14ac:dyDescent="0.25"/>
    <row r="105" spans="1:10" outlineLevel="1" x14ac:dyDescent="0.25">
      <c r="B105" s="49" t="s">
        <v>175</v>
      </c>
      <c r="C105" s="50">
        <v>453600</v>
      </c>
      <c r="D105" s="49" t="s">
        <v>125</v>
      </c>
      <c r="E105" s="49"/>
    </row>
    <row r="106" spans="1:10" ht="14.4" outlineLevel="1" thickBot="1" x14ac:dyDescent="0.3"/>
    <row r="107" spans="1:10" ht="14.4" outlineLevel="1" collapsed="1" thickBot="1" x14ac:dyDescent="0.3">
      <c r="A107" s="350" t="s">
        <v>176</v>
      </c>
      <c r="B107" s="351"/>
      <c r="C107" s="351"/>
      <c r="D107" s="351"/>
      <c r="E107" s="351"/>
      <c r="F107" s="351"/>
      <c r="G107" s="351"/>
      <c r="H107" s="352"/>
    </row>
    <row r="108" spans="1:10" ht="69" outlineLevel="1" x14ac:dyDescent="0.25">
      <c r="A108" s="51">
        <v>1</v>
      </c>
      <c r="B108" s="25" t="s">
        <v>177</v>
      </c>
      <c r="C108" s="25" t="s">
        <v>178</v>
      </c>
      <c r="D108" s="26" t="s">
        <v>179</v>
      </c>
      <c r="E108" s="34">
        <v>0.25</v>
      </c>
      <c r="F108" s="25" t="s">
        <v>180</v>
      </c>
      <c r="G108" s="53">
        <v>45390</v>
      </c>
      <c r="H108" s="51"/>
      <c r="I108" s="52"/>
      <c r="J108" s="52"/>
    </row>
    <row r="109" spans="1:10" ht="27.6" outlineLevel="1" x14ac:dyDescent="0.25">
      <c r="A109" s="2">
        <f>A108+1</f>
        <v>2</v>
      </c>
      <c r="B109" s="5" t="s">
        <v>181</v>
      </c>
      <c r="C109" s="5" t="s">
        <v>128</v>
      </c>
      <c r="D109" s="30">
        <v>1</v>
      </c>
      <c r="E109" s="17">
        <v>0.25</v>
      </c>
      <c r="F109" s="2" t="s">
        <v>182</v>
      </c>
      <c r="G109" s="53">
        <v>45390</v>
      </c>
      <c r="H109" s="2"/>
    </row>
    <row r="110" spans="1:10" outlineLevel="1" x14ac:dyDescent="0.25">
      <c r="A110" s="2">
        <f t="shared" ref="A110:A118" si="2">A109+1</f>
        <v>3</v>
      </c>
      <c r="B110" s="5" t="s">
        <v>58</v>
      </c>
      <c r="C110" s="5" t="s">
        <v>183</v>
      </c>
      <c r="D110" s="30">
        <v>1</v>
      </c>
      <c r="E110" s="3"/>
      <c r="F110" s="2" t="s">
        <v>184</v>
      </c>
      <c r="G110" s="2"/>
      <c r="H110" s="2"/>
    </row>
    <row r="111" spans="1:10" outlineLevel="1" x14ac:dyDescent="0.25">
      <c r="A111" s="2">
        <f t="shared" si="2"/>
        <v>4</v>
      </c>
      <c r="B111" s="5" t="s">
        <v>185</v>
      </c>
      <c r="C111" s="5" t="s">
        <v>186</v>
      </c>
      <c r="D111" s="30"/>
      <c r="E111" s="3"/>
      <c r="F111" s="2" t="s">
        <v>187</v>
      </c>
      <c r="G111" s="2"/>
      <c r="H111" s="2"/>
    </row>
    <row r="112" spans="1:10" ht="27.6" outlineLevel="1" x14ac:dyDescent="0.25">
      <c r="A112" s="2">
        <f t="shared" si="2"/>
        <v>5</v>
      </c>
      <c r="B112" s="5" t="s">
        <v>188</v>
      </c>
      <c r="C112" s="5" t="s">
        <v>189</v>
      </c>
      <c r="D112" s="30">
        <v>1</v>
      </c>
      <c r="E112" s="17">
        <v>0.25</v>
      </c>
      <c r="F112" s="2" t="s">
        <v>190</v>
      </c>
      <c r="G112" s="18">
        <v>45391</v>
      </c>
      <c r="H112" s="2"/>
    </row>
    <row r="113" spans="1:8" ht="27.6" outlineLevel="1" x14ac:dyDescent="0.25">
      <c r="A113" s="2">
        <f t="shared" si="2"/>
        <v>6</v>
      </c>
      <c r="B113" s="5" t="s">
        <v>191</v>
      </c>
      <c r="C113" s="5" t="s">
        <v>192</v>
      </c>
      <c r="D113" s="30">
        <v>1</v>
      </c>
      <c r="E113" s="3"/>
      <c r="F113" s="72" t="s">
        <v>223</v>
      </c>
      <c r="G113" s="18">
        <v>45391</v>
      </c>
      <c r="H113" s="2"/>
    </row>
    <row r="114" spans="1:8" outlineLevel="1" x14ac:dyDescent="0.25">
      <c r="A114" s="2">
        <f t="shared" si="2"/>
        <v>7</v>
      </c>
      <c r="B114" s="5" t="s">
        <v>193</v>
      </c>
      <c r="C114" s="5" t="s">
        <v>194</v>
      </c>
      <c r="D114" s="30" t="s">
        <v>195</v>
      </c>
      <c r="E114" s="3"/>
      <c r="F114" s="57" t="s">
        <v>217</v>
      </c>
      <c r="G114" s="18">
        <v>45392</v>
      </c>
      <c r="H114" s="2"/>
    </row>
    <row r="115" spans="1:8" ht="27.6" outlineLevel="1" x14ac:dyDescent="0.25">
      <c r="A115" s="2">
        <f t="shared" si="2"/>
        <v>8</v>
      </c>
      <c r="B115" s="5" t="s">
        <v>81</v>
      </c>
      <c r="C115" s="5" t="s">
        <v>196</v>
      </c>
      <c r="D115" s="30">
        <v>2</v>
      </c>
      <c r="E115" s="17">
        <v>0.3</v>
      </c>
      <c r="F115" s="2" t="s">
        <v>197</v>
      </c>
      <c r="G115" s="18">
        <v>45392</v>
      </c>
      <c r="H115" s="2"/>
    </row>
    <row r="116" spans="1:8" ht="27.6" outlineLevel="1" x14ac:dyDescent="0.25">
      <c r="A116" s="2">
        <f t="shared" si="2"/>
        <v>9</v>
      </c>
      <c r="B116" s="5" t="s">
        <v>198</v>
      </c>
      <c r="C116" s="5" t="s">
        <v>199</v>
      </c>
      <c r="D116" s="30" t="s">
        <v>200</v>
      </c>
      <c r="E116" s="17">
        <v>0.25</v>
      </c>
      <c r="F116" s="2"/>
      <c r="G116" s="18">
        <v>45393</v>
      </c>
      <c r="H116" s="2"/>
    </row>
    <row r="117" spans="1:8" ht="27.6" outlineLevel="1" x14ac:dyDescent="0.25">
      <c r="A117" s="2">
        <f t="shared" si="2"/>
        <v>10</v>
      </c>
      <c r="B117" s="5" t="s">
        <v>201</v>
      </c>
      <c r="C117" s="5" t="s">
        <v>114</v>
      </c>
      <c r="D117" s="7">
        <v>1</v>
      </c>
      <c r="E117" s="3" t="s">
        <v>31</v>
      </c>
      <c r="F117" s="5" t="s">
        <v>224</v>
      </c>
      <c r="G117" s="18">
        <v>45393</v>
      </c>
      <c r="H117" s="2"/>
    </row>
    <row r="118" spans="1:8" ht="27.6" outlineLevel="1" x14ac:dyDescent="0.25">
      <c r="A118" s="2">
        <f t="shared" si="2"/>
        <v>11</v>
      </c>
      <c r="B118" s="5" t="s">
        <v>202</v>
      </c>
      <c r="C118" s="5" t="s">
        <v>203</v>
      </c>
      <c r="D118" s="7">
        <v>1</v>
      </c>
      <c r="E118" s="37">
        <v>0.3</v>
      </c>
      <c r="F118" s="2"/>
      <c r="G118" s="18">
        <v>45393</v>
      </c>
      <c r="H118" s="2"/>
    </row>
    <row r="119" spans="1:8" outlineLevel="1" x14ac:dyDescent="0.25">
      <c r="A119" s="2">
        <v>12</v>
      </c>
      <c r="B119" s="2" t="s">
        <v>204</v>
      </c>
      <c r="C119" s="2" t="s">
        <v>205</v>
      </c>
      <c r="D119" s="4">
        <v>1</v>
      </c>
      <c r="E119" s="54">
        <v>48521</v>
      </c>
      <c r="F119" s="2" t="s">
        <v>206</v>
      </c>
      <c r="G119" s="18">
        <v>45393</v>
      </c>
    </row>
    <row r="120" spans="1:8" ht="41.4" outlineLevel="1" x14ac:dyDescent="0.25">
      <c r="A120" s="22">
        <v>13</v>
      </c>
      <c r="B120" s="22" t="s">
        <v>207</v>
      </c>
      <c r="C120" s="55" t="s">
        <v>209</v>
      </c>
      <c r="D120" s="56" t="s">
        <v>210</v>
      </c>
      <c r="E120" s="55" t="s">
        <v>211</v>
      </c>
      <c r="F120" s="55" t="s">
        <v>212</v>
      </c>
      <c r="G120" s="23">
        <v>45393</v>
      </c>
    </row>
    <row r="121" spans="1:8" outlineLevel="1" x14ac:dyDescent="0.25">
      <c r="A121" s="2">
        <v>14</v>
      </c>
      <c r="B121" s="2" t="s">
        <v>208</v>
      </c>
      <c r="C121" s="2" t="s">
        <v>214</v>
      </c>
      <c r="D121" s="4"/>
      <c r="E121" s="2"/>
      <c r="F121" s="2" t="s">
        <v>213</v>
      </c>
      <c r="G121" s="2"/>
      <c r="H121" s="2"/>
    </row>
    <row r="122" spans="1:8" outlineLevel="1" x14ac:dyDescent="0.25">
      <c r="A122" s="2">
        <v>15</v>
      </c>
      <c r="B122" s="2" t="s">
        <v>215</v>
      </c>
      <c r="C122" s="2" t="s">
        <v>216</v>
      </c>
      <c r="D122" s="2">
        <v>2</v>
      </c>
      <c r="E122" s="37">
        <v>0.3</v>
      </c>
      <c r="F122" s="2"/>
      <c r="G122" s="18">
        <v>45394</v>
      </c>
    </row>
    <row r="123" spans="1:8" outlineLevel="1" x14ac:dyDescent="0.25">
      <c r="A123" s="2">
        <v>16</v>
      </c>
      <c r="B123" s="2" t="s">
        <v>62</v>
      </c>
      <c r="C123" s="2" t="s">
        <v>218</v>
      </c>
      <c r="D123" s="2">
        <v>1</v>
      </c>
      <c r="E123" s="37">
        <v>0.3</v>
      </c>
      <c r="F123" s="2" t="s">
        <v>219</v>
      </c>
      <c r="G123" s="2"/>
    </row>
    <row r="124" spans="1:8" outlineLevel="1" x14ac:dyDescent="0.25">
      <c r="A124" s="28"/>
      <c r="B124" s="28"/>
      <c r="C124" s="28"/>
      <c r="D124" s="28"/>
      <c r="E124" s="58"/>
      <c r="F124" s="28"/>
      <c r="G124" s="28"/>
    </row>
    <row r="125" spans="1:8" outlineLevel="1" x14ac:dyDescent="0.25">
      <c r="B125" s="1" t="s">
        <v>220</v>
      </c>
    </row>
    <row r="126" spans="1:8" outlineLevel="1" x14ac:dyDescent="0.25">
      <c r="B126" s="1" t="s">
        <v>221</v>
      </c>
    </row>
    <row r="127" spans="1:8" outlineLevel="1" x14ac:dyDescent="0.25">
      <c r="B127" s="1" t="s">
        <v>167</v>
      </c>
    </row>
    <row r="128" spans="1:8" outlineLevel="1" x14ac:dyDescent="0.25">
      <c r="B128" s="1" t="s">
        <v>222</v>
      </c>
    </row>
    <row r="129" spans="1:8" outlineLevel="1" x14ac:dyDescent="0.25">
      <c r="B129" s="1" t="s">
        <v>153</v>
      </c>
    </row>
    <row r="130" spans="1:8" outlineLevel="1" x14ac:dyDescent="0.25">
      <c r="B130" s="1" t="s">
        <v>154</v>
      </c>
    </row>
    <row r="131" spans="1:8" x14ac:dyDescent="0.25">
      <c r="E131" s="1" t="s">
        <v>95</v>
      </c>
    </row>
    <row r="132" spans="1:8" ht="14.4" hidden="1" outlineLevel="1" thickBot="1" x14ac:dyDescent="0.3">
      <c r="A132" s="350" t="s">
        <v>228</v>
      </c>
      <c r="B132" s="351"/>
      <c r="C132" s="351"/>
      <c r="D132" s="351"/>
      <c r="E132" s="351"/>
      <c r="F132" s="351"/>
      <c r="G132" s="351"/>
      <c r="H132" s="352"/>
    </row>
    <row r="133" spans="1:8" hidden="1" outlineLevel="1" x14ac:dyDescent="0.25">
      <c r="A133" s="68">
        <v>1</v>
      </c>
      <c r="B133" s="69" t="s">
        <v>62</v>
      </c>
      <c r="C133" s="70" t="s">
        <v>234</v>
      </c>
      <c r="D133" s="68">
        <v>2</v>
      </c>
      <c r="E133" s="71">
        <v>0.3</v>
      </c>
      <c r="F133" s="70" t="s">
        <v>236</v>
      </c>
      <c r="G133" s="9"/>
    </row>
    <row r="134" spans="1:8" hidden="1" outlineLevel="1" x14ac:dyDescent="0.25">
      <c r="A134" s="66">
        <v>2</v>
      </c>
      <c r="B134" s="62" t="s">
        <v>235</v>
      </c>
      <c r="C134" s="61" t="s">
        <v>114</v>
      </c>
      <c r="D134" s="66">
        <v>1</v>
      </c>
      <c r="E134" s="61" t="s">
        <v>152</v>
      </c>
      <c r="F134" s="61" t="s">
        <v>236</v>
      </c>
      <c r="G134" s="2"/>
    </row>
    <row r="135" spans="1:8" ht="26.4" hidden="1" outlineLevel="1" x14ac:dyDescent="0.25">
      <c r="A135" s="66">
        <v>3</v>
      </c>
      <c r="B135" s="62" t="s">
        <v>237</v>
      </c>
      <c r="C135" s="64" t="s">
        <v>238</v>
      </c>
      <c r="D135" s="67" t="s">
        <v>239</v>
      </c>
      <c r="E135" s="63">
        <v>0.3</v>
      </c>
      <c r="F135" s="61" t="s">
        <v>236</v>
      </c>
      <c r="G135" s="2"/>
    </row>
    <row r="136" spans="1:8" hidden="1" outlineLevel="1" x14ac:dyDescent="0.25">
      <c r="A136" s="66">
        <v>4</v>
      </c>
      <c r="B136" s="62" t="s">
        <v>240</v>
      </c>
      <c r="C136" s="61" t="s">
        <v>128</v>
      </c>
      <c r="D136" s="66">
        <v>1</v>
      </c>
      <c r="E136" s="63">
        <v>0.3</v>
      </c>
      <c r="F136" s="61"/>
      <c r="G136" s="2"/>
    </row>
    <row r="137" spans="1:8" hidden="1" outlineLevel="1" x14ac:dyDescent="0.25">
      <c r="A137" s="66">
        <v>5</v>
      </c>
      <c r="B137" s="62" t="s">
        <v>185</v>
      </c>
      <c r="C137" s="61" t="s">
        <v>241</v>
      </c>
      <c r="D137" s="66">
        <v>1</v>
      </c>
      <c r="E137" s="63">
        <v>0.25</v>
      </c>
      <c r="F137" s="61" t="s">
        <v>242</v>
      </c>
      <c r="G137" s="2"/>
    </row>
    <row r="138" spans="1:8" ht="26.4" hidden="1" outlineLevel="1" x14ac:dyDescent="0.25">
      <c r="A138" s="66">
        <v>6</v>
      </c>
      <c r="B138" s="74" t="s">
        <v>243</v>
      </c>
      <c r="C138" s="64" t="s">
        <v>246</v>
      </c>
      <c r="D138" s="66">
        <v>4</v>
      </c>
      <c r="E138" s="63">
        <v>0.25</v>
      </c>
      <c r="F138" s="61"/>
      <c r="G138" s="28"/>
    </row>
    <row r="139" spans="1:8" ht="26.4" hidden="1" outlineLevel="1" x14ac:dyDescent="0.25">
      <c r="A139" s="66">
        <v>7</v>
      </c>
      <c r="B139" s="65" t="s">
        <v>233</v>
      </c>
      <c r="C139" s="61" t="s">
        <v>128</v>
      </c>
      <c r="D139" s="66">
        <v>1</v>
      </c>
      <c r="E139" s="63">
        <v>0.2</v>
      </c>
      <c r="F139" s="64" t="s">
        <v>253</v>
      </c>
    </row>
    <row r="140" spans="1:8" ht="26.4" hidden="1" outlineLevel="1" x14ac:dyDescent="0.25">
      <c r="A140" s="66">
        <v>8</v>
      </c>
      <c r="B140" s="62" t="s">
        <v>244</v>
      </c>
      <c r="C140" s="64" t="s">
        <v>245</v>
      </c>
      <c r="D140" s="66">
        <v>1</v>
      </c>
      <c r="E140" s="73">
        <v>0.25</v>
      </c>
      <c r="F140" s="64" t="s">
        <v>255</v>
      </c>
    </row>
    <row r="141" spans="1:8" ht="39.6" hidden="1" outlineLevel="1" x14ac:dyDescent="0.25">
      <c r="A141" s="66">
        <v>9</v>
      </c>
      <c r="B141" s="65" t="s">
        <v>225</v>
      </c>
      <c r="C141" s="64" t="s">
        <v>226</v>
      </c>
      <c r="D141" s="66">
        <v>1</v>
      </c>
      <c r="E141" s="73">
        <v>0.2</v>
      </c>
      <c r="F141" s="64" t="s">
        <v>227</v>
      </c>
    </row>
    <row r="142" spans="1:8" ht="39.6" hidden="1" outlineLevel="1" x14ac:dyDescent="0.25">
      <c r="A142" s="84">
        <v>10</v>
      </c>
      <c r="B142" s="85" t="s">
        <v>247</v>
      </c>
      <c r="C142" s="86" t="s">
        <v>248</v>
      </c>
      <c r="D142" s="84">
        <v>1</v>
      </c>
      <c r="E142" s="87">
        <v>0.2</v>
      </c>
      <c r="F142" s="88" t="s">
        <v>314</v>
      </c>
    </row>
    <row r="143" spans="1:8" hidden="1" outlineLevel="1" x14ac:dyDescent="0.25">
      <c r="A143" s="66">
        <v>11</v>
      </c>
      <c r="B143" s="61" t="s">
        <v>249</v>
      </c>
      <c r="C143" s="61" t="s">
        <v>250</v>
      </c>
      <c r="D143" s="66">
        <v>4</v>
      </c>
      <c r="E143" s="73">
        <v>0.25</v>
      </c>
      <c r="F143" s="61"/>
    </row>
    <row r="144" spans="1:8" hidden="1" outlineLevel="1" x14ac:dyDescent="0.25">
      <c r="A144" s="66">
        <v>12</v>
      </c>
      <c r="B144" s="61" t="s">
        <v>251</v>
      </c>
      <c r="C144" s="61" t="s">
        <v>252</v>
      </c>
      <c r="D144" s="66">
        <v>1</v>
      </c>
      <c r="E144" s="73">
        <v>0.15</v>
      </c>
      <c r="F144" s="61" t="s">
        <v>263</v>
      </c>
    </row>
    <row r="145" spans="1:8" ht="27.6" hidden="1" outlineLevel="1" x14ac:dyDescent="0.25">
      <c r="A145" s="4">
        <v>13</v>
      </c>
      <c r="B145" s="5" t="s">
        <v>254</v>
      </c>
      <c r="C145" s="2" t="s">
        <v>183</v>
      </c>
      <c r="D145" s="4">
        <v>2</v>
      </c>
      <c r="E145" s="4" t="s">
        <v>31</v>
      </c>
      <c r="F145" s="2"/>
    </row>
    <row r="146" spans="1:8" ht="41.4" hidden="1" outlineLevel="1" x14ac:dyDescent="0.25">
      <c r="A146" s="2">
        <v>14</v>
      </c>
      <c r="B146" s="5" t="s">
        <v>256</v>
      </c>
      <c r="C146" s="2" t="s">
        <v>257</v>
      </c>
      <c r="D146" s="7" t="s">
        <v>76</v>
      </c>
      <c r="E146" s="5" t="s">
        <v>264</v>
      </c>
      <c r="F146" s="5" t="s">
        <v>258</v>
      </c>
    </row>
    <row r="147" spans="1:8" ht="41.4" hidden="1" outlineLevel="1" x14ac:dyDescent="0.25">
      <c r="A147" s="2">
        <v>15</v>
      </c>
      <c r="B147" s="2" t="s">
        <v>259</v>
      </c>
      <c r="C147" s="5" t="s">
        <v>209</v>
      </c>
      <c r="D147" s="30" t="s">
        <v>210</v>
      </c>
      <c r="E147" s="5" t="s">
        <v>211</v>
      </c>
      <c r="F147" s="5" t="s">
        <v>212</v>
      </c>
    </row>
    <row r="148" spans="1:8" hidden="1" outlineLevel="1" x14ac:dyDescent="0.25">
      <c r="A148" s="2">
        <v>16</v>
      </c>
      <c r="B148" s="2" t="s">
        <v>260</v>
      </c>
      <c r="C148" s="2" t="s">
        <v>261</v>
      </c>
      <c r="D148" s="3">
        <v>3</v>
      </c>
      <c r="E148" s="16">
        <v>0.25</v>
      </c>
      <c r="F148" s="2"/>
    </row>
    <row r="149" spans="1:8" hidden="1" outlineLevel="1" x14ac:dyDescent="0.25"/>
    <row r="150" spans="1:8" hidden="1" outlineLevel="1" x14ac:dyDescent="0.25"/>
    <row r="151" spans="1:8" hidden="1" outlineLevel="1" x14ac:dyDescent="0.25"/>
    <row r="152" spans="1:8" hidden="1" outlineLevel="1" x14ac:dyDescent="0.25">
      <c r="B152" s="1" t="s">
        <v>220</v>
      </c>
    </row>
    <row r="153" spans="1:8" hidden="1" outlineLevel="1" x14ac:dyDescent="0.25">
      <c r="B153" s="1" t="s">
        <v>221</v>
      </c>
    </row>
    <row r="154" spans="1:8" hidden="1" outlineLevel="1" x14ac:dyDescent="0.25">
      <c r="B154" s="1" t="s">
        <v>167</v>
      </c>
    </row>
    <row r="155" spans="1:8" hidden="1" outlineLevel="1" x14ac:dyDescent="0.25">
      <c r="B155" s="1" t="s">
        <v>262</v>
      </c>
    </row>
    <row r="156" spans="1:8" hidden="1" outlineLevel="1" x14ac:dyDescent="0.25">
      <c r="B156" s="1" t="s">
        <v>153</v>
      </c>
    </row>
    <row r="157" spans="1:8" hidden="1" outlineLevel="1" x14ac:dyDescent="0.25">
      <c r="B157" s="1" t="s">
        <v>154</v>
      </c>
    </row>
    <row r="158" spans="1:8" collapsed="1" x14ac:dyDescent="0.25"/>
    <row r="159" spans="1:8" ht="14.4" hidden="1" outlineLevel="1" thickBot="1" x14ac:dyDescent="0.3">
      <c r="A159" s="350" t="s">
        <v>268</v>
      </c>
      <c r="B159" s="351"/>
      <c r="C159" s="351"/>
      <c r="D159" s="351"/>
      <c r="E159" s="351"/>
      <c r="F159" s="351"/>
      <c r="G159" s="351"/>
      <c r="H159" s="352"/>
    </row>
    <row r="160" spans="1:8" hidden="1" outlineLevel="1" x14ac:dyDescent="0.25">
      <c r="A160" s="9">
        <v>1</v>
      </c>
      <c r="B160" s="9" t="s">
        <v>265</v>
      </c>
      <c r="C160" s="51" t="s">
        <v>266</v>
      </c>
      <c r="D160" s="24">
        <v>1</v>
      </c>
      <c r="E160" s="40">
        <v>0.3</v>
      </c>
      <c r="F160" s="9"/>
      <c r="G160" s="35">
        <v>45404</v>
      </c>
    </row>
    <row r="161" spans="1:7" hidden="1" outlineLevel="1" x14ac:dyDescent="0.25">
      <c r="A161" s="2">
        <f t="shared" ref="A161:A166" si="3">A160+1</f>
        <v>2</v>
      </c>
      <c r="B161" s="2" t="s">
        <v>269</v>
      </c>
      <c r="C161" s="8" t="s">
        <v>183</v>
      </c>
      <c r="D161" s="4">
        <v>1</v>
      </c>
      <c r="E161" s="37">
        <v>0.25</v>
      </c>
      <c r="F161" s="2"/>
      <c r="G161" s="18">
        <v>45404</v>
      </c>
    </row>
    <row r="162" spans="1:7" ht="27.6" hidden="1" outlineLevel="1" x14ac:dyDescent="0.25">
      <c r="A162" s="2">
        <f t="shared" si="3"/>
        <v>3</v>
      </c>
      <c r="B162" s="5" t="s">
        <v>270</v>
      </c>
      <c r="C162" s="13" t="s">
        <v>271</v>
      </c>
      <c r="D162" s="7" t="s">
        <v>76</v>
      </c>
      <c r="E162" s="2"/>
      <c r="F162" s="2"/>
      <c r="G162" s="18">
        <v>45404</v>
      </c>
    </row>
    <row r="163" spans="1:7" hidden="1" outlineLevel="1" x14ac:dyDescent="0.25">
      <c r="A163" s="2">
        <f t="shared" si="3"/>
        <v>4</v>
      </c>
      <c r="B163" s="2" t="s">
        <v>272</v>
      </c>
      <c r="C163" s="5" t="s">
        <v>273</v>
      </c>
      <c r="D163" s="7">
        <v>2</v>
      </c>
      <c r="E163" s="37">
        <v>0.25</v>
      </c>
      <c r="F163" s="2" t="s">
        <v>274</v>
      </c>
      <c r="G163" s="18">
        <v>45404</v>
      </c>
    </row>
    <row r="164" spans="1:7" ht="27.6" hidden="1" outlineLevel="1" x14ac:dyDescent="0.25">
      <c r="A164" s="2">
        <f t="shared" si="3"/>
        <v>5</v>
      </c>
      <c r="B164" s="2" t="s">
        <v>275</v>
      </c>
      <c r="C164" s="5" t="s">
        <v>276</v>
      </c>
      <c r="D164" s="7" t="s">
        <v>76</v>
      </c>
      <c r="E164" s="37">
        <v>0.15</v>
      </c>
      <c r="F164" s="2" t="s">
        <v>277</v>
      </c>
      <c r="G164" s="18">
        <v>45405</v>
      </c>
    </row>
    <row r="165" spans="1:7" ht="27.6" hidden="1" outlineLevel="1" x14ac:dyDescent="0.25">
      <c r="A165" s="2">
        <f t="shared" si="3"/>
        <v>6</v>
      </c>
      <c r="B165" s="2" t="s">
        <v>278</v>
      </c>
      <c r="C165" s="5" t="s">
        <v>279</v>
      </c>
      <c r="D165" s="7" t="s">
        <v>280</v>
      </c>
      <c r="E165" s="37">
        <v>0.3</v>
      </c>
      <c r="F165" s="2"/>
      <c r="G165" s="18">
        <v>45405</v>
      </c>
    </row>
    <row r="166" spans="1:7" ht="41.4" hidden="1" outlineLevel="1" x14ac:dyDescent="0.25">
      <c r="A166" s="75">
        <f t="shared" si="3"/>
        <v>7</v>
      </c>
      <c r="B166" s="15" t="s">
        <v>267</v>
      </c>
      <c r="C166" s="77" t="s">
        <v>301</v>
      </c>
      <c r="D166" s="78" t="s">
        <v>302</v>
      </c>
      <c r="E166" s="79">
        <v>0.25</v>
      </c>
      <c r="F166" s="75" t="s">
        <v>303</v>
      </c>
      <c r="G166" s="76">
        <v>45408</v>
      </c>
    </row>
    <row r="167" spans="1:7" hidden="1" outlineLevel="1" x14ac:dyDescent="0.25">
      <c r="A167" s="2">
        <v>8</v>
      </c>
      <c r="B167" s="2" t="s">
        <v>282</v>
      </c>
      <c r="C167" s="2" t="s">
        <v>281</v>
      </c>
      <c r="D167" s="4">
        <v>3</v>
      </c>
      <c r="E167" s="37">
        <v>0.3</v>
      </c>
      <c r="F167" s="2"/>
      <c r="G167" s="18">
        <v>45406</v>
      </c>
    </row>
    <row r="168" spans="1:7" hidden="1" outlineLevel="1" x14ac:dyDescent="0.25">
      <c r="A168" s="2">
        <v>9</v>
      </c>
      <c r="B168" s="2" t="s">
        <v>283</v>
      </c>
      <c r="C168" s="2" t="s">
        <v>281</v>
      </c>
      <c r="D168" s="4">
        <v>3</v>
      </c>
      <c r="E168" s="37">
        <v>0.3</v>
      </c>
      <c r="F168" s="2"/>
      <c r="G168" s="18">
        <v>45406</v>
      </c>
    </row>
    <row r="169" spans="1:7" hidden="1" outlineLevel="1" x14ac:dyDescent="0.25">
      <c r="A169" s="2">
        <v>10</v>
      </c>
      <c r="B169" s="2" t="s">
        <v>81</v>
      </c>
      <c r="C169" s="2" t="s">
        <v>284</v>
      </c>
      <c r="D169" s="3">
        <v>2</v>
      </c>
      <c r="E169" s="37">
        <v>0.3</v>
      </c>
      <c r="F169" s="2"/>
      <c r="G169" s="18">
        <v>45406</v>
      </c>
    </row>
    <row r="170" spans="1:7" ht="27.6" hidden="1" outlineLevel="1" x14ac:dyDescent="0.25">
      <c r="A170" s="2">
        <v>11</v>
      </c>
      <c r="B170" s="5" t="s">
        <v>285</v>
      </c>
      <c r="C170" s="2" t="s">
        <v>284</v>
      </c>
      <c r="D170" s="3">
        <v>2</v>
      </c>
      <c r="E170" s="37">
        <v>0.3</v>
      </c>
      <c r="F170" s="2"/>
      <c r="G170" s="18">
        <v>45406</v>
      </c>
    </row>
    <row r="171" spans="1:7" hidden="1" outlineLevel="1" x14ac:dyDescent="0.25">
      <c r="A171" s="2">
        <v>12</v>
      </c>
      <c r="B171" s="2" t="s">
        <v>287</v>
      </c>
      <c r="C171" s="2" t="s">
        <v>286</v>
      </c>
      <c r="D171" s="3">
        <v>1</v>
      </c>
      <c r="E171" s="37">
        <v>0.3</v>
      </c>
      <c r="F171" s="2"/>
      <c r="G171" s="18">
        <v>45406</v>
      </c>
    </row>
    <row r="172" spans="1:7" ht="27.6" hidden="1" outlineLevel="1" x14ac:dyDescent="0.25">
      <c r="A172" s="2">
        <v>13</v>
      </c>
      <c r="B172" s="2" t="s">
        <v>289</v>
      </c>
      <c r="C172" s="5" t="s">
        <v>290</v>
      </c>
      <c r="D172" s="7" t="s">
        <v>291</v>
      </c>
      <c r="E172" s="37">
        <v>0.25</v>
      </c>
      <c r="F172" s="2"/>
      <c r="G172" s="18">
        <v>45407</v>
      </c>
    </row>
    <row r="173" spans="1:7" ht="41.4" hidden="1" outlineLevel="1" x14ac:dyDescent="0.25">
      <c r="A173" s="2">
        <v>14</v>
      </c>
      <c r="B173" s="2" t="s">
        <v>249</v>
      </c>
      <c r="C173" s="5" t="s">
        <v>292</v>
      </c>
      <c r="D173" s="7" t="s">
        <v>294</v>
      </c>
      <c r="E173" s="2"/>
      <c r="F173" s="5" t="s">
        <v>293</v>
      </c>
      <c r="G173" s="18">
        <v>45407</v>
      </c>
    </row>
    <row r="174" spans="1:7" ht="27.6" hidden="1" outlineLevel="1" x14ac:dyDescent="0.25">
      <c r="A174" s="2">
        <v>15</v>
      </c>
      <c r="B174" s="2" t="s">
        <v>295</v>
      </c>
      <c r="C174" s="5" t="s">
        <v>296</v>
      </c>
      <c r="D174" s="7" t="s">
        <v>297</v>
      </c>
      <c r="E174" s="37">
        <v>0.25</v>
      </c>
      <c r="F174" s="2"/>
      <c r="G174" s="18">
        <v>45407</v>
      </c>
    </row>
    <row r="175" spans="1:7" hidden="1" outlineLevel="1" x14ac:dyDescent="0.25">
      <c r="A175" s="2">
        <v>16</v>
      </c>
      <c r="B175" s="80" t="s">
        <v>298</v>
      </c>
      <c r="C175" s="81" t="s">
        <v>299</v>
      </c>
      <c r="D175" s="82">
        <v>3</v>
      </c>
      <c r="E175" s="83">
        <v>0.25</v>
      </c>
      <c r="F175" s="2"/>
      <c r="G175" s="18">
        <v>45407</v>
      </c>
    </row>
    <row r="176" spans="1:7" hidden="1" outlineLevel="1" x14ac:dyDescent="0.25">
      <c r="A176" s="2">
        <v>17</v>
      </c>
      <c r="B176" s="2" t="s">
        <v>100</v>
      </c>
      <c r="C176" s="2" t="s">
        <v>300</v>
      </c>
      <c r="D176" s="4">
        <v>2</v>
      </c>
      <c r="E176" s="37">
        <v>0.3</v>
      </c>
      <c r="F176" s="2"/>
      <c r="G176" s="18">
        <v>45407</v>
      </c>
    </row>
    <row r="177" spans="1:7" ht="27.6" hidden="1" outlineLevel="1" x14ac:dyDescent="0.25">
      <c r="A177" s="2">
        <v>18</v>
      </c>
      <c r="B177" s="5" t="s">
        <v>304</v>
      </c>
      <c r="C177" s="5" t="s">
        <v>305</v>
      </c>
      <c r="D177" s="7" t="s">
        <v>280</v>
      </c>
      <c r="E177" s="37">
        <v>0.25</v>
      </c>
      <c r="F177" s="2"/>
      <c r="G177" s="18">
        <v>45408</v>
      </c>
    </row>
    <row r="178" spans="1:7" hidden="1" outlineLevel="1" x14ac:dyDescent="0.25">
      <c r="A178" s="2">
        <v>19</v>
      </c>
      <c r="B178" s="2" t="s">
        <v>53</v>
      </c>
      <c r="C178" s="2" t="s">
        <v>306</v>
      </c>
      <c r="D178" s="4">
        <v>2</v>
      </c>
      <c r="E178" s="37">
        <v>0.25</v>
      </c>
      <c r="F178" s="2"/>
      <c r="G178" s="18">
        <v>45408</v>
      </c>
    </row>
    <row r="179" spans="1:7" ht="27.6" hidden="1" outlineLevel="1" x14ac:dyDescent="0.25">
      <c r="A179" s="2">
        <v>20</v>
      </c>
      <c r="B179" s="2" t="s">
        <v>307</v>
      </c>
      <c r="C179" s="5" t="s">
        <v>308</v>
      </c>
      <c r="D179" s="7" t="s">
        <v>47</v>
      </c>
      <c r="E179" s="37">
        <v>0.3</v>
      </c>
      <c r="F179" s="2"/>
      <c r="G179" s="18">
        <v>45408</v>
      </c>
    </row>
    <row r="180" spans="1:7" hidden="1" outlineLevel="1" x14ac:dyDescent="0.25">
      <c r="A180" s="2">
        <v>21</v>
      </c>
      <c r="B180" s="95" t="s">
        <v>309</v>
      </c>
      <c r="C180" s="96" t="s">
        <v>299</v>
      </c>
      <c r="D180" s="82">
        <v>3</v>
      </c>
      <c r="E180" s="83">
        <v>0.25</v>
      </c>
      <c r="F180" s="2" t="s">
        <v>389</v>
      </c>
      <c r="G180" s="18">
        <v>45407</v>
      </c>
    </row>
    <row r="181" spans="1:7" ht="27.6" hidden="1" outlineLevel="1" x14ac:dyDescent="0.25">
      <c r="A181" s="2">
        <v>22</v>
      </c>
      <c r="B181" s="2" t="s">
        <v>310</v>
      </c>
      <c r="C181" s="5" t="s">
        <v>311</v>
      </c>
      <c r="D181" s="7" t="s">
        <v>312</v>
      </c>
      <c r="E181" s="37">
        <v>0.25</v>
      </c>
      <c r="F181" s="2"/>
      <c r="G181" s="2" t="s">
        <v>313</v>
      </c>
    </row>
    <row r="182" spans="1:7" hidden="1" outlineLevel="1" x14ac:dyDescent="0.25">
      <c r="A182" s="2">
        <v>23</v>
      </c>
      <c r="B182" s="2" t="s">
        <v>315</v>
      </c>
      <c r="C182" s="2" t="s">
        <v>317</v>
      </c>
      <c r="D182" s="4"/>
      <c r="E182" s="2"/>
      <c r="F182" s="2"/>
      <c r="G182" s="2" t="s">
        <v>324</v>
      </c>
    </row>
    <row r="183" spans="1:7" ht="27.6" hidden="1" outlineLevel="1" x14ac:dyDescent="0.25">
      <c r="A183" s="2">
        <v>24</v>
      </c>
      <c r="B183" s="5" t="s">
        <v>319</v>
      </c>
      <c r="C183" s="5" t="s">
        <v>323</v>
      </c>
      <c r="D183" s="7" t="s">
        <v>322</v>
      </c>
      <c r="E183" s="2"/>
      <c r="F183" s="2"/>
      <c r="G183" s="2"/>
    </row>
    <row r="184" spans="1:7" ht="27.6" hidden="1" outlineLevel="1" x14ac:dyDescent="0.25">
      <c r="A184" s="2">
        <v>25</v>
      </c>
      <c r="B184" s="5" t="s">
        <v>335</v>
      </c>
      <c r="C184" s="5" t="s">
        <v>321</v>
      </c>
      <c r="D184" s="7" t="s">
        <v>320</v>
      </c>
      <c r="E184" s="2"/>
      <c r="F184" s="2"/>
      <c r="G184" s="2"/>
    </row>
    <row r="185" spans="1:7" hidden="1" outlineLevel="1" x14ac:dyDescent="0.25">
      <c r="A185" s="2"/>
      <c r="B185" s="5"/>
      <c r="C185" s="5"/>
      <c r="D185" s="7"/>
      <c r="E185" s="2"/>
      <c r="F185" s="2"/>
      <c r="G185" s="2"/>
    </row>
    <row r="186" spans="1:7" hidden="1" outlineLevel="1" x14ac:dyDescent="0.25">
      <c r="A186" s="2"/>
      <c r="B186" s="2" t="s">
        <v>316</v>
      </c>
      <c r="C186" s="2"/>
      <c r="D186" s="2"/>
      <c r="E186" s="2"/>
      <c r="F186" s="2"/>
      <c r="G186" s="2"/>
    </row>
    <row r="187" spans="1:7" ht="68.400000000000006" hidden="1" customHeight="1" outlineLevel="1" x14ac:dyDescent="0.25">
      <c r="A187" s="2"/>
      <c r="B187" s="356" t="s">
        <v>318</v>
      </c>
      <c r="C187" s="356"/>
      <c r="D187" s="356"/>
      <c r="E187" s="356"/>
      <c r="F187" s="356"/>
      <c r="G187" s="356"/>
    </row>
    <row r="188" spans="1:7" hidden="1" outlineLevel="1" x14ac:dyDescent="0.25"/>
    <row r="189" spans="1:7" hidden="1" outlineLevel="1" x14ac:dyDescent="0.25"/>
    <row r="190" spans="1:7" hidden="1" outlineLevel="1" x14ac:dyDescent="0.25">
      <c r="B190" s="1" t="s">
        <v>326</v>
      </c>
    </row>
    <row r="191" spans="1:7" hidden="1" outlineLevel="1" x14ac:dyDescent="0.25">
      <c r="B191" s="1" t="s">
        <v>288</v>
      </c>
    </row>
    <row r="192" spans="1:7" hidden="1" outlineLevel="1" x14ac:dyDescent="0.25">
      <c r="B192" s="92" t="s">
        <v>325</v>
      </c>
      <c r="C192" s="92"/>
    </row>
    <row r="193" spans="1:8" hidden="1" outlineLevel="1" x14ac:dyDescent="0.25"/>
    <row r="194" spans="1:8" hidden="1" outlineLevel="1" x14ac:dyDescent="0.25">
      <c r="B194" s="1" t="s">
        <v>327</v>
      </c>
    </row>
    <row r="195" spans="1:8" hidden="1" outlineLevel="1" x14ac:dyDescent="0.25">
      <c r="B195" s="1" t="s">
        <v>328</v>
      </c>
    </row>
    <row r="196" spans="1:8" hidden="1" outlineLevel="1" x14ac:dyDescent="0.25">
      <c r="B196" s="1" t="s">
        <v>167</v>
      </c>
    </row>
    <row r="197" spans="1:8" hidden="1" outlineLevel="1" x14ac:dyDescent="0.25">
      <c r="B197" s="1" t="s">
        <v>329</v>
      </c>
    </row>
    <row r="198" spans="1:8" hidden="1" outlineLevel="1" x14ac:dyDescent="0.25">
      <c r="B198" s="1" t="s">
        <v>153</v>
      </c>
    </row>
    <row r="199" spans="1:8" hidden="1" outlineLevel="1" x14ac:dyDescent="0.25">
      <c r="B199" s="1" t="s">
        <v>154</v>
      </c>
    </row>
    <row r="200" spans="1:8" ht="14.4" hidden="1" outlineLevel="1" thickBot="1" x14ac:dyDescent="0.3"/>
    <row r="201" spans="1:8" ht="14.4" hidden="1" outlineLevel="1" thickBot="1" x14ac:dyDescent="0.3">
      <c r="A201" s="350" t="s">
        <v>330</v>
      </c>
      <c r="B201" s="351"/>
      <c r="C201" s="351"/>
      <c r="D201" s="351"/>
      <c r="E201" s="351"/>
      <c r="F201" s="351"/>
      <c r="G201" s="351"/>
      <c r="H201" s="352"/>
    </row>
    <row r="202" spans="1:8" hidden="1" outlineLevel="1" x14ac:dyDescent="0.25">
      <c r="A202" s="89"/>
      <c r="B202" s="89" t="s">
        <v>331</v>
      </c>
      <c r="C202" s="89" t="s">
        <v>332</v>
      </c>
      <c r="D202" s="89">
        <v>1</v>
      </c>
      <c r="E202" s="90">
        <v>0.25</v>
      </c>
      <c r="F202" s="89" t="s">
        <v>333</v>
      </c>
      <c r="G202" s="91">
        <v>45542</v>
      </c>
    </row>
    <row r="203" spans="1:8" hidden="1" outlineLevel="1" x14ac:dyDescent="0.25">
      <c r="A203" s="2"/>
      <c r="B203" s="75" t="s">
        <v>272</v>
      </c>
      <c r="C203" s="75" t="s">
        <v>341</v>
      </c>
      <c r="D203" s="75">
        <v>4</v>
      </c>
      <c r="E203" s="79">
        <v>0.25</v>
      </c>
      <c r="F203" s="75" t="s">
        <v>334</v>
      </c>
      <c r="G203" s="75"/>
    </row>
    <row r="204" spans="1:8" hidden="1" outlineLevel="1" x14ac:dyDescent="0.25">
      <c r="A204" s="2"/>
      <c r="B204" s="75" t="s">
        <v>342</v>
      </c>
      <c r="C204" s="75" t="s">
        <v>337</v>
      </c>
      <c r="D204" s="2">
        <v>1</v>
      </c>
      <c r="E204" s="2"/>
      <c r="F204" s="2" t="s">
        <v>336</v>
      </c>
      <c r="G204" s="2"/>
    </row>
    <row r="205" spans="1:8" hidden="1" outlineLevel="1" x14ac:dyDescent="0.25"/>
    <row r="206" spans="1:8" hidden="1" outlineLevel="1" x14ac:dyDescent="0.25">
      <c r="B206" s="1" t="s">
        <v>339</v>
      </c>
    </row>
    <row r="207" spans="1:8" hidden="1" outlineLevel="1" x14ac:dyDescent="0.25">
      <c r="B207" s="1" t="s">
        <v>340</v>
      </c>
    </row>
    <row r="208" spans="1:8" hidden="1" outlineLevel="1" x14ac:dyDescent="0.25">
      <c r="B208" s="1" t="s">
        <v>167</v>
      </c>
    </row>
    <row r="209" spans="1:8" hidden="1" outlineLevel="1" x14ac:dyDescent="0.25">
      <c r="B209" s="1" t="s">
        <v>338</v>
      </c>
    </row>
    <row r="210" spans="1:8" hidden="1" outlineLevel="1" x14ac:dyDescent="0.25">
      <c r="B210" s="1" t="s">
        <v>153</v>
      </c>
    </row>
    <row r="211" spans="1:8" hidden="1" outlineLevel="1" x14ac:dyDescent="0.25">
      <c r="B211" s="1" t="s">
        <v>154</v>
      </c>
    </row>
    <row r="212" spans="1:8" ht="14.4" hidden="1" outlineLevel="1" thickBot="1" x14ac:dyDescent="0.3"/>
    <row r="213" spans="1:8" ht="14.4" hidden="1" outlineLevel="1" collapsed="1" thickBot="1" x14ac:dyDescent="0.3">
      <c r="A213" s="391" t="s">
        <v>343</v>
      </c>
      <c r="B213" s="392"/>
      <c r="C213" s="392"/>
      <c r="D213" s="392"/>
      <c r="E213" s="392"/>
      <c r="F213" s="392"/>
      <c r="G213" s="392"/>
      <c r="H213" s="352"/>
    </row>
    <row r="214" spans="1:8" hidden="1" outlineLevel="1" x14ac:dyDescent="0.25">
      <c r="A214" s="2">
        <v>1</v>
      </c>
      <c r="B214" s="2" t="s">
        <v>344</v>
      </c>
      <c r="C214" s="2" t="s">
        <v>346</v>
      </c>
      <c r="D214" s="2"/>
      <c r="E214" s="2" t="s">
        <v>345</v>
      </c>
      <c r="F214" s="2"/>
      <c r="G214" s="2"/>
    </row>
    <row r="215" spans="1:8" ht="27.6" hidden="1" outlineLevel="1" x14ac:dyDescent="0.25">
      <c r="A215" s="2">
        <v>2</v>
      </c>
      <c r="B215" s="2" t="s">
        <v>347</v>
      </c>
      <c r="C215" s="2" t="s">
        <v>349</v>
      </c>
      <c r="D215" s="7" t="s">
        <v>348</v>
      </c>
      <c r="E215" s="37">
        <v>0.25</v>
      </c>
      <c r="F215" s="2"/>
      <c r="G215" s="2"/>
    </row>
    <row r="216" spans="1:8" hidden="1" outlineLevel="1" x14ac:dyDescent="0.25">
      <c r="A216" s="2">
        <v>3</v>
      </c>
      <c r="B216" s="2" t="s">
        <v>350</v>
      </c>
      <c r="C216" s="2" t="s">
        <v>351</v>
      </c>
      <c r="D216" s="4">
        <v>3</v>
      </c>
      <c r="E216" s="37">
        <v>0.3</v>
      </c>
      <c r="F216" s="2"/>
      <c r="G216" s="2"/>
    </row>
    <row r="217" spans="1:8" hidden="1" outlineLevel="1" x14ac:dyDescent="0.25">
      <c r="A217" s="2">
        <v>4</v>
      </c>
      <c r="B217" s="2" t="s">
        <v>352</v>
      </c>
      <c r="C217" s="2" t="s">
        <v>353</v>
      </c>
      <c r="D217" s="4">
        <v>3</v>
      </c>
      <c r="E217" s="37">
        <v>0.3</v>
      </c>
      <c r="F217" s="2"/>
      <c r="G217" s="2"/>
    </row>
    <row r="218" spans="1:8" hidden="1" outlineLevel="1" x14ac:dyDescent="0.25">
      <c r="A218" s="2">
        <v>5</v>
      </c>
      <c r="B218" s="2" t="s">
        <v>354</v>
      </c>
      <c r="C218" s="2" t="s">
        <v>355</v>
      </c>
      <c r="D218" s="4">
        <v>2</v>
      </c>
      <c r="E218" s="37">
        <v>0.25</v>
      </c>
      <c r="F218" s="2" t="s">
        <v>356</v>
      </c>
      <c r="G218" s="2"/>
    </row>
    <row r="219" spans="1:8" ht="27.6" hidden="1" outlineLevel="1" x14ac:dyDescent="0.25">
      <c r="A219" s="2">
        <v>6</v>
      </c>
      <c r="B219" s="2" t="s">
        <v>298</v>
      </c>
      <c r="C219" s="2" t="s">
        <v>357</v>
      </c>
      <c r="D219" s="7" t="s">
        <v>358</v>
      </c>
      <c r="E219" s="37">
        <v>0.3</v>
      </c>
      <c r="F219" s="2"/>
      <c r="G219" s="2"/>
    </row>
    <row r="220" spans="1:8" hidden="1" outlineLevel="1" x14ac:dyDescent="0.25">
      <c r="A220" s="2">
        <v>7</v>
      </c>
      <c r="B220" s="93" t="s">
        <v>359</v>
      </c>
      <c r="C220" s="2" t="s">
        <v>360</v>
      </c>
      <c r="D220" s="4">
        <v>3</v>
      </c>
      <c r="E220" s="37">
        <v>0.25</v>
      </c>
      <c r="F220" s="2"/>
      <c r="G220" s="2"/>
    </row>
    <row r="221" spans="1:8" hidden="1" outlineLevel="1" x14ac:dyDescent="0.25">
      <c r="A221" s="2">
        <v>8</v>
      </c>
      <c r="B221" s="75" t="s">
        <v>361</v>
      </c>
      <c r="C221" s="2" t="s">
        <v>362</v>
      </c>
      <c r="D221" s="2" t="s">
        <v>363</v>
      </c>
      <c r="E221" s="37">
        <v>0.25</v>
      </c>
      <c r="F221" s="2" t="s">
        <v>369</v>
      </c>
      <c r="G221" s="2"/>
    </row>
    <row r="222" spans="1:8" ht="27.6" hidden="1" outlineLevel="1" x14ac:dyDescent="0.25">
      <c r="A222" s="2">
        <v>9</v>
      </c>
      <c r="B222" s="2" t="s">
        <v>367</v>
      </c>
      <c r="C222" s="2" t="s">
        <v>368</v>
      </c>
      <c r="D222" s="5" t="s">
        <v>48</v>
      </c>
      <c r="E222" s="2"/>
      <c r="F222" s="2"/>
      <c r="G222" s="2"/>
    </row>
    <row r="223" spans="1:8" hidden="1" outlineLevel="1" x14ac:dyDescent="0.25"/>
    <row r="224" spans="1:8" hidden="1" outlineLevel="1" x14ac:dyDescent="0.25">
      <c r="B224" s="1" t="s">
        <v>364</v>
      </c>
    </row>
    <row r="225" spans="1:7" hidden="1" outlineLevel="1" x14ac:dyDescent="0.25">
      <c r="B225" s="1" t="s">
        <v>365</v>
      </c>
    </row>
    <row r="226" spans="1:7" hidden="1" outlineLevel="1" x14ac:dyDescent="0.25">
      <c r="B226" s="1" t="s">
        <v>167</v>
      </c>
    </row>
    <row r="227" spans="1:7" hidden="1" outlineLevel="1" x14ac:dyDescent="0.25">
      <c r="B227" s="1" t="s">
        <v>370</v>
      </c>
      <c r="D227" s="94" t="s">
        <v>371</v>
      </c>
    </row>
    <row r="228" spans="1:7" hidden="1" outlineLevel="1" x14ac:dyDescent="0.25">
      <c r="B228" s="1" t="s">
        <v>366</v>
      </c>
    </row>
    <row r="229" spans="1:7" hidden="1" outlineLevel="1" x14ac:dyDescent="0.25">
      <c r="B229" s="1" t="s">
        <v>372</v>
      </c>
      <c r="C229" s="1" t="s">
        <v>373</v>
      </c>
    </row>
    <row r="230" spans="1:7" hidden="1" outlineLevel="1" x14ac:dyDescent="0.25"/>
    <row r="231" spans="1:7" ht="14.4" hidden="1" outlineLevel="1" thickBot="1" x14ac:dyDescent="0.3">
      <c r="C231" s="1" t="s">
        <v>95</v>
      </c>
    </row>
    <row r="232" spans="1:7" ht="14.4" hidden="1" outlineLevel="1" thickBot="1" x14ac:dyDescent="0.3">
      <c r="A232" s="328" t="s">
        <v>390</v>
      </c>
      <c r="B232" s="329"/>
      <c r="C232" s="329"/>
      <c r="D232" s="329"/>
      <c r="E232" s="329"/>
      <c r="F232" s="329"/>
      <c r="G232" s="330"/>
    </row>
    <row r="233" spans="1:7" hidden="1" outlineLevel="1" x14ac:dyDescent="0.25">
      <c r="A233" s="98">
        <v>1</v>
      </c>
      <c r="B233" s="98" t="s">
        <v>379</v>
      </c>
      <c r="C233" s="98" t="s">
        <v>380</v>
      </c>
      <c r="D233" s="99">
        <v>2</v>
      </c>
      <c r="E233" s="100">
        <v>0.3</v>
      </c>
      <c r="F233" s="98"/>
      <c r="G233" s="101">
        <v>45402</v>
      </c>
    </row>
    <row r="234" spans="1:7" hidden="1" outlineLevel="1" x14ac:dyDescent="0.25">
      <c r="A234" s="2">
        <v>2</v>
      </c>
      <c r="B234" s="2" t="s">
        <v>378</v>
      </c>
      <c r="C234" s="2" t="s">
        <v>230</v>
      </c>
      <c r="D234" s="4">
        <v>2</v>
      </c>
      <c r="E234" s="16">
        <v>0.25</v>
      </c>
      <c r="F234" s="2"/>
      <c r="G234" s="18">
        <v>45402</v>
      </c>
    </row>
    <row r="235" spans="1:7" hidden="1" outlineLevel="1" x14ac:dyDescent="0.25">
      <c r="A235" s="2">
        <v>3</v>
      </c>
      <c r="B235" s="2" t="s">
        <v>377</v>
      </c>
      <c r="C235" s="2" t="s">
        <v>398</v>
      </c>
      <c r="D235" s="4">
        <v>1</v>
      </c>
      <c r="E235" s="4" t="s">
        <v>399</v>
      </c>
      <c r="F235" s="2"/>
      <c r="G235" s="18">
        <v>45402</v>
      </c>
    </row>
    <row r="236" spans="1:7" hidden="1" outlineLevel="1" x14ac:dyDescent="0.25">
      <c r="A236" s="2">
        <v>4</v>
      </c>
      <c r="B236" s="2" t="s">
        <v>420</v>
      </c>
      <c r="C236" s="2" t="s">
        <v>407</v>
      </c>
      <c r="D236" s="16" t="s">
        <v>409</v>
      </c>
      <c r="E236" s="16">
        <v>0.25</v>
      </c>
      <c r="F236" s="2" t="s">
        <v>408</v>
      </c>
      <c r="G236" s="18">
        <v>45402</v>
      </c>
    </row>
    <row r="237" spans="1:7" ht="27.6" hidden="1" outlineLevel="1" x14ac:dyDescent="0.25">
      <c r="A237" s="2">
        <v>5</v>
      </c>
      <c r="B237" s="2" t="s">
        <v>376</v>
      </c>
      <c r="C237" s="5" t="s">
        <v>414</v>
      </c>
      <c r="D237" s="7" t="s">
        <v>410</v>
      </c>
      <c r="E237" s="4"/>
      <c r="F237" s="2" t="s">
        <v>392</v>
      </c>
      <c r="G237" s="18">
        <v>45403</v>
      </c>
    </row>
    <row r="238" spans="1:7" hidden="1" outlineLevel="1" x14ac:dyDescent="0.25">
      <c r="A238" s="2">
        <v>6</v>
      </c>
      <c r="B238" s="2" t="s">
        <v>381</v>
      </c>
      <c r="C238" s="2" t="s">
        <v>382</v>
      </c>
      <c r="D238" s="4">
        <v>2</v>
      </c>
      <c r="E238" s="16">
        <v>0.3</v>
      </c>
      <c r="F238" s="2" t="s">
        <v>402</v>
      </c>
      <c r="G238" s="18">
        <v>45403</v>
      </c>
    </row>
    <row r="239" spans="1:7" hidden="1" outlineLevel="1" x14ac:dyDescent="0.25">
      <c r="A239" s="2">
        <v>7</v>
      </c>
      <c r="B239" s="2" t="s">
        <v>383</v>
      </c>
      <c r="C239" s="2" t="s">
        <v>230</v>
      </c>
      <c r="D239" s="4">
        <v>3</v>
      </c>
      <c r="E239" s="16">
        <v>0.3</v>
      </c>
      <c r="F239" s="2" t="s">
        <v>403</v>
      </c>
      <c r="G239" s="18">
        <v>45403</v>
      </c>
    </row>
    <row r="240" spans="1:7" ht="14.4" hidden="1" outlineLevel="1" x14ac:dyDescent="0.3">
      <c r="A240" s="2">
        <v>8</v>
      </c>
      <c r="B240" s="97" t="s">
        <v>384</v>
      </c>
      <c r="C240" s="2" t="s">
        <v>405</v>
      </c>
      <c r="D240" s="4">
        <v>1</v>
      </c>
      <c r="E240" s="16">
        <v>0.25</v>
      </c>
      <c r="F240" s="2"/>
      <c r="G240" s="18">
        <v>45404</v>
      </c>
    </row>
    <row r="241" spans="1:7" hidden="1" outlineLevel="1" x14ac:dyDescent="0.25">
      <c r="A241" s="2">
        <v>9</v>
      </c>
      <c r="B241" s="2" t="s">
        <v>385</v>
      </c>
      <c r="C241" s="2" t="s">
        <v>404</v>
      </c>
      <c r="D241" s="4">
        <v>2</v>
      </c>
      <c r="E241" s="16">
        <v>0.25</v>
      </c>
      <c r="F241" s="2"/>
      <c r="G241" s="18">
        <v>45404</v>
      </c>
    </row>
    <row r="242" spans="1:7" hidden="1" outlineLevel="1" x14ac:dyDescent="0.25">
      <c r="A242" s="2">
        <v>10</v>
      </c>
      <c r="B242" s="2" t="s">
        <v>406</v>
      </c>
      <c r="C242" s="2" t="s">
        <v>386</v>
      </c>
      <c r="D242" s="4">
        <v>2</v>
      </c>
      <c r="E242" s="16">
        <v>0.3</v>
      </c>
      <c r="F242" s="2"/>
      <c r="G242" s="18">
        <v>45404</v>
      </c>
    </row>
    <row r="243" spans="1:7" hidden="1" outlineLevel="1" x14ac:dyDescent="0.25">
      <c r="A243" s="2">
        <v>11</v>
      </c>
      <c r="B243" s="2" t="s">
        <v>387</v>
      </c>
      <c r="C243" s="2" t="s">
        <v>415</v>
      </c>
      <c r="D243" s="4">
        <v>2</v>
      </c>
      <c r="E243" s="16">
        <v>0.25</v>
      </c>
      <c r="F243" s="2" t="s">
        <v>416</v>
      </c>
      <c r="G243" s="18">
        <v>45405</v>
      </c>
    </row>
    <row r="244" spans="1:7" ht="27.6" hidden="1" outlineLevel="1" x14ac:dyDescent="0.25">
      <c r="A244" s="2">
        <v>12</v>
      </c>
      <c r="B244" s="2" t="s">
        <v>388</v>
      </c>
      <c r="C244" s="5" t="s">
        <v>395</v>
      </c>
      <c r="D244" s="4">
        <v>1</v>
      </c>
      <c r="E244" s="16">
        <v>0.25</v>
      </c>
      <c r="F244" s="2"/>
      <c r="G244" s="18">
        <v>45406</v>
      </c>
    </row>
    <row r="245" spans="1:7" hidden="1" outlineLevel="1" x14ac:dyDescent="0.25">
      <c r="A245" s="2">
        <v>13</v>
      </c>
      <c r="B245" s="2" t="s">
        <v>391</v>
      </c>
      <c r="C245" s="2" t="s">
        <v>417</v>
      </c>
      <c r="D245" s="4">
        <v>1</v>
      </c>
      <c r="E245" s="16">
        <v>0.25</v>
      </c>
      <c r="F245" s="2"/>
      <c r="G245" s="18">
        <v>45406</v>
      </c>
    </row>
    <row r="246" spans="1:7" hidden="1" outlineLevel="1" x14ac:dyDescent="0.25">
      <c r="A246" s="2">
        <v>14</v>
      </c>
      <c r="B246" s="2" t="s">
        <v>260</v>
      </c>
      <c r="C246" s="2" t="s">
        <v>393</v>
      </c>
      <c r="D246" s="4">
        <v>2</v>
      </c>
      <c r="E246" s="16">
        <v>0.25</v>
      </c>
      <c r="F246" s="2"/>
      <c r="G246" s="18">
        <v>45407</v>
      </c>
    </row>
    <row r="247" spans="1:7" ht="27.6" hidden="1" outlineLevel="1" x14ac:dyDescent="0.25">
      <c r="A247" s="2">
        <v>15</v>
      </c>
      <c r="B247" s="2" t="s">
        <v>394</v>
      </c>
      <c r="C247" s="5" t="s">
        <v>401</v>
      </c>
      <c r="D247" s="7" t="s">
        <v>106</v>
      </c>
      <c r="E247" s="4"/>
      <c r="F247" s="2"/>
      <c r="G247" s="18">
        <v>45437</v>
      </c>
    </row>
    <row r="248" spans="1:7" ht="69" hidden="1" outlineLevel="1" x14ac:dyDescent="0.25">
      <c r="A248" s="2">
        <v>16</v>
      </c>
      <c r="B248" s="8" t="s">
        <v>307</v>
      </c>
      <c r="C248" s="5" t="s">
        <v>396</v>
      </c>
      <c r="D248" s="7" t="s">
        <v>397</v>
      </c>
      <c r="E248" s="16">
        <v>0.3</v>
      </c>
      <c r="F248" s="2"/>
      <c r="G248" s="18">
        <v>45437</v>
      </c>
    </row>
    <row r="249" spans="1:7" hidden="1" outlineLevel="1" x14ac:dyDescent="0.25">
      <c r="A249" s="2">
        <v>17</v>
      </c>
      <c r="B249" s="2" t="s">
        <v>55</v>
      </c>
      <c r="C249" s="2" t="s">
        <v>400</v>
      </c>
      <c r="D249" s="4">
        <v>2</v>
      </c>
      <c r="E249" s="4"/>
      <c r="F249" s="2"/>
      <c r="G249" s="18">
        <v>45403</v>
      </c>
    </row>
    <row r="250" spans="1:7" hidden="1" outlineLevel="1" x14ac:dyDescent="0.25">
      <c r="A250" s="2">
        <v>18</v>
      </c>
      <c r="B250" s="2" t="s">
        <v>411</v>
      </c>
      <c r="C250" s="2" t="s">
        <v>412</v>
      </c>
      <c r="D250" s="2" t="s">
        <v>413</v>
      </c>
      <c r="E250" s="4"/>
      <c r="F250" s="2" t="s">
        <v>423</v>
      </c>
      <c r="G250" s="18">
        <v>46166</v>
      </c>
    </row>
    <row r="251" spans="1:7" hidden="1" outlineLevel="1" x14ac:dyDescent="0.25"/>
    <row r="252" spans="1:7" hidden="1" outlineLevel="1" x14ac:dyDescent="0.25"/>
    <row r="253" spans="1:7" hidden="1" outlineLevel="1" x14ac:dyDescent="0.25"/>
    <row r="254" spans="1:7" hidden="1" outlineLevel="1" x14ac:dyDescent="0.25">
      <c r="B254" s="1" t="s">
        <v>421</v>
      </c>
    </row>
    <row r="255" spans="1:7" hidden="1" outlineLevel="1" x14ac:dyDescent="0.25">
      <c r="B255" s="1" t="s">
        <v>422</v>
      </c>
    </row>
    <row r="256" spans="1:7" hidden="1" outlineLevel="1" x14ac:dyDescent="0.25">
      <c r="B256" s="1" t="s">
        <v>167</v>
      </c>
    </row>
    <row r="257" spans="1:7" hidden="1" outlineLevel="1" x14ac:dyDescent="0.25">
      <c r="B257" s="1" t="s">
        <v>419</v>
      </c>
      <c r="D257" s="94"/>
    </row>
    <row r="258" spans="1:7" hidden="1" outlineLevel="1" x14ac:dyDescent="0.25">
      <c r="B258" s="1" t="s">
        <v>418</v>
      </c>
    </row>
    <row r="259" spans="1:7" hidden="1" outlineLevel="1" x14ac:dyDescent="0.25">
      <c r="B259" s="1" t="s">
        <v>154</v>
      </c>
    </row>
    <row r="260" spans="1:7" ht="14.4" hidden="1" outlineLevel="1" thickBot="1" x14ac:dyDescent="0.3"/>
    <row r="261" spans="1:7" hidden="1" outlineLevel="1" x14ac:dyDescent="0.25">
      <c r="A261" s="325" t="s">
        <v>424</v>
      </c>
      <c r="B261" s="326"/>
      <c r="C261" s="326"/>
      <c r="D261" s="326"/>
      <c r="E261" s="326"/>
      <c r="F261" s="326"/>
      <c r="G261" s="327"/>
    </row>
    <row r="262" spans="1:7" hidden="1" outlineLevel="1" x14ac:dyDescent="0.25">
      <c r="A262" s="2">
        <v>1</v>
      </c>
      <c r="B262" s="2" t="s">
        <v>425</v>
      </c>
      <c r="C262" s="2" t="s">
        <v>426</v>
      </c>
      <c r="D262" s="2"/>
      <c r="E262" s="37">
        <v>0.25</v>
      </c>
      <c r="F262" s="2" t="s">
        <v>428</v>
      </c>
      <c r="G262" s="2"/>
    </row>
    <row r="263" spans="1:7" ht="41.4" hidden="1" outlineLevel="1" x14ac:dyDescent="0.25">
      <c r="A263" s="2">
        <v>2</v>
      </c>
      <c r="B263" s="2" t="s">
        <v>425</v>
      </c>
      <c r="C263" s="5" t="s">
        <v>427</v>
      </c>
      <c r="D263" s="2"/>
      <c r="E263" s="37">
        <v>0.3</v>
      </c>
      <c r="F263" s="5" t="s">
        <v>429</v>
      </c>
      <c r="G263" s="2"/>
    </row>
    <row r="264" spans="1:7" hidden="1" outlineLevel="1" x14ac:dyDescent="0.25">
      <c r="A264" s="2">
        <v>3</v>
      </c>
      <c r="B264" s="2" t="s">
        <v>430</v>
      </c>
      <c r="C264" s="2" t="s">
        <v>31</v>
      </c>
      <c r="D264" s="2"/>
      <c r="E264" s="37">
        <v>0.3</v>
      </c>
      <c r="F264" s="2"/>
      <c r="G264" s="2"/>
    </row>
    <row r="265" spans="1:7" hidden="1" outlineLevel="1" x14ac:dyDescent="0.25">
      <c r="A265" s="2">
        <v>4</v>
      </c>
      <c r="B265" s="2" t="s">
        <v>431</v>
      </c>
      <c r="C265" s="2" t="s">
        <v>442</v>
      </c>
      <c r="D265" s="2"/>
      <c r="E265" s="2"/>
      <c r="F265" s="2"/>
      <c r="G265" s="2"/>
    </row>
    <row r="266" spans="1:7" hidden="1" outlineLevel="1" x14ac:dyDescent="0.25">
      <c r="A266" s="2">
        <v>5</v>
      </c>
      <c r="B266" s="2" t="s">
        <v>432</v>
      </c>
      <c r="C266" s="2" t="s">
        <v>433</v>
      </c>
      <c r="D266" s="2">
        <v>2</v>
      </c>
      <c r="E266" s="37">
        <v>0.25</v>
      </c>
      <c r="F266" s="2" t="s">
        <v>453</v>
      </c>
      <c r="G266" s="2"/>
    </row>
    <row r="267" spans="1:7" hidden="1" outlineLevel="1" x14ac:dyDescent="0.25">
      <c r="A267" s="2">
        <v>6</v>
      </c>
      <c r="B267" s="2" t="s">
        <v>434</v>
      </c>
      <c r="C267" s="2" t="s">
        <v>435</v>
      </c>
      <c r="D267" s="2">
        <v>2</v>
      </c>
      <c r="E267" s="37">
        <v>0.3</v>
      </c>
      <c r="F267" s="2"/>
      <c r="G267" s="2"/>
    </row>
    <row r="268" spans="1:7" ht="27.6" hidden="1" outlineLevel="1" x14ac:dyDescent="0.25">
      <c r="A268" s="2">
        <v>7</v>
      </c>
      <c r="B268" s="2" t="s">
        <v>436</v>
      </c>
      <c r="C268" s="5" t="s">
        <v>455</v>
      </c>
      <c r="D268" s="5" t="s">
        <v>454</v>
      </c>
      <c r="E268" s="37">
        <v>0.2</v>
      </c>
      <c r="F268" s="2" t="s">
        <v>456</v>
      </c>
      <c r="G268" s="2"/>
    </row>
    <row r="269" spans="1:7" hidden="1" outlineLevel="1" x14ac:dyDescent="0.25">
      <c r="A269" s="2">
        <v>8</v>
      </c>
      <c r="B269" s="2" t="s">
        <v>437</v>
      </c>
      <c r="C269" s="2" t="s">
        <v>442</v>
      </c>
      <c r="D269" s="2"/>
      <c r="E269" s="2"/>
      <c r="F269" s="2"/>
      <c r="G269" s="2"/>
    </row>
    <row r="270" spans="1:7" hidden="1" outlineLevel="1" x14ac:dyDescent="0.25">
      <c r="A270" s="2">
        <v>9</v>
      </c>
      <c r="B270" s="2" t="s">
        <v>438</v>
      </c>
      <c r="C270" s="2" t="s">
        <v>232</v>
      </c>
      <c r="D270" s="2"/>
      <c r="E270" s="37">
        <v>0.2</v>
      </c>
      <c r="F270" s="2"/>
      <c r="G270" s="2"/>
    </row>
    <row r="271" spans="1:7" hidden="1" outlineLevel="1" x14ac:dyDescent="0.25">
      <c r="A271" s="2">
        <v>10</v>
      </c>
      <c r="B271" s="2" t="s">
        <v>439</v>
      </c>
      <c r="C271" s="2" t="s">
        <v>433</v>
      </c>
      <c r="D271" s="2"/>
      <c r="E271" s="37">
        <v>0.25</v>
      </c>
      <c r="F271" s="2"/>
      <c r="G271" s="2"/>
    </row>
    <row r="272" spans="1:7" hidden="1" outlineLevel="1" x14ac:dyDescent="0.25">
      <c r="A272" s="2">
        <v>11</v>
      </c>
      <c r="B272" s="2" t="s">
        <v>440</v>
      </c>
      <c r="C272" s="2" t="s">
        <v>441</v>
      </c>
      <c r="D272" s="2">
        <v>2</v>
      </c>
      <c r="E272" s="37">
        <v>0.25</v>
      </c>
      <c r="F272" s="2"/>
      <c r="G272" s="2"/>
    </row>
    <row r="273" spans="1:7" hidden="1" outlineLevel="1" x14ac:dyDescent="0.25">
      <c r="A273" s="2">
        <v>12</v>
      </c>
      <c r="B273" s="2" t="s">
        <v>444</v>
      </c>
      <c r="C273" s="2" t="s">
        <v>445</v>
      </c>
      <c r="D273" s="2"/>
      <c r="E273" s="2"/>
      <c r="F273" s="2"/>
      <c r="G273" s="2"/>
    </row>
    <row r="274" spans="1:7" hidden="1" outlineLevel="1" x14ac:dyDescent="0.25">
      <c r="A274" s="2">
        <v>13</v>
      </c>
      <c r="B274" s="2" t="s">
        <v>457</v>
      </c>
      <c r="C274" s="2" t="s">
        <v>458</v>
      </c>
      <c r="D274" s="2">
        <v>3</v>
      </c>
      <c r="E274" s="37">
        <v>0.25</v>
      </c>
      <c r="F274" s="2"/>
      <c r="G274" s="2"/>
    </row>
    <row r="275" spans="1:7" hidden="1" outlineLevel="1" x14ac:dyDescent="0.25"/>
    <row r="276" spans="1:7" hidden="1" outlineLevel="1" x14ac:dyDescent="0.25"/>
    <row r="277" spans="1:7" hidden="1" outlineLevel="1" x14ac:dyDescent="0.25">
      <c r="B277" s="1" t="s">
        <v>421</v>
      </c>
    </row>
    <row r="278" spans="1:7" hidden="1" outlineLevel="1" x14ac:dyDescent="0.25">
      <c r="B278" s="1" t="s">
        <v>422</v>
      </c>
    </row>
    <row r="279" spans="1:7" hidden="1" outlineLevel="1" x14ac:dyDescent="0.25">
      <c r="B279" s="1" t="s">
        <v>167</v>
      </c>
    </row>
    <row r="280" spans="1:7" hidden="1" outlineLevel="1" x14ac:dyDescent="0.25">
      <c r="B280" s="1" t="s">
        <v>443</v>
      </c>
      <c r="D280" s="1" t="s">
        <v>385</v>
      </c>
    </row>
    <row r="281" spans="1:7" hidden="1" outlineLevel="1" x14ac:dyDescent="0.25">
      <c r="B281" s="1" t="s">
        <v>418</v>
      </c>
    </row>
    <row r="282" spans="1:7" hidden="1" outlineLevel="1" x14ac:dyDescent="0.25">
      <c r="B282" s="1" t="s">
        <v>154</v>
      </c>
    </row>
    <row r="283" spans="1:7" ht="14.4" collapsed="1" thickBot="1" x14ac:dyDescent="0.3"/>
    <row r="284" spans="1:7" ht="14.4" outlineLevel="1" thickBot="1" x14ac:dyDescent="0.3">
      <c r="A284" s="328" t="s">
        <v>446</v>
      </c>
      <c r="B284" s="329"/>
      <c r="C284" s="329"/>
      <c r="D284" s="329"/>
      <c r="E284" s="329"/>
      <c r="F284" s="329"/>
      <c r="G284" s="330"/>
    </row>
    <row r="285" spans="1:7" outlineLevel="1" x14ac:dyDescent="0.25">
      <c r="A285" s="9">
        <v>1</v>
      </c>
      <c r="B285" s="9" t="s">
        <v>448</v>
      </c>
      <c r="C285" s="9" t="s">
        <v>449</v>
      </c>
      <c r="D285" s="24">
        <v>1</v>
      </c>
      <c r="E285" s="40">
        <v>0.3</v>
      </c>
      <c r="F285" s="9"/>
      <c r="G285" s="9"/>
    </row>
    <row r="286" spans="1:7" outlineLevel="1" x14ac:dyDescent="0.25">
      <c r="A286" s="2">
        <v>2</v>
      </c>
      <c r="B286" s="2" t="s">
        <v>447</v>
      </c>
      <c r="C286" s="2" t="s">
        <v>417</v>
      </c>
      <c r="D286" s="4">
        <v>4</v>
      </c>
      <c r="E286" s="37">
        <v>0.25</v>
      </c>
      <c r="F286" s="2"/>
      <c r="G286" s="2"/>
    </row>
    <row r="287" spans="1:7" outlineLevel="1" x14ac:dyDescent="0.25">
      <c r="A287" s="2">
        <v>3</v>
      </c>
      <c r="B287" s="2" t="s">
        <v>450</v>
      </c>
      <c r="C287" s="2" t="s">
        <v>451</v>
      </c>
      <c r="D287" s="4">
        <v>2</v>
      </c>
      <c r="E287" s="37">
        <v>0.25</v>
      </c>
      <c r="F287" s="2"/>
      <c r="G287" s="2"/>
    </row>
    <row r="288" spans="1:7" outlineLevel="1" x14ac:dyDescent="0.25">
      <c r="A288" s="2">
        <v>4</v>
      </c>
      <c r="B288" s="2" t="s">
        <v>459</v>
      </c>
      <c r="C288" s="2" t="s">
        <v>460</v>
      </c>
      <c r="D288" s="4">
        <v>2</v>
      </c>
      <c r="E288" s="37">
        <v>0.25</v>
      </c>
      <c r="F288" s="2"/>
      <c r="G288" s="2"/>
    </row>
    <row r="289" spans="1:7" ht="27.6" outlineLevel="1" x14ac:dyDescent="0.25">
      <c r="A289" s="2">
        <v>5</v>
      </c>
      <c r="B289" s="2" t="s">
        <v>461</v>
      </c>
      <c r="C289" s="5" t="s">
        <v>462</v>
      </c>
      <c r="D289" s="7" t="s">
        <v>320</v>
      </c>
      <c r="E289" s="37">
        <v>0.2</v>
      </c>
      <c r="F289" s="2"/>
      <c r="G289" s="2"/>
    </row>
    <row r="290" spans="1:7" outlineLevel="1" x14ac:dyDescent="0.25">
      <c r="A290" s="2">
        <v>6</v>
      </c>
      <c r="B290" s="2" t="s">
        <v>468</v>
      </c>
      <c r="C290" s="2" t="s">
        <v>355</v>
      </c>
      <c r="D290" s="4">
        <v>1</v>
      </c>
      <c r="E290" s="37">
        <v>0.2</v>
      </c>
      <c r="F290" s="2"/>
      <c r="G290" s="2"/>
    </row>
    <row r="291" spans="1:7" ht="27.6" outlineLevel="1" x14ac:dyDescent="0.25">
      <c r="A291" s="2">
        <v>7</v>
      </c>
      <c r="B291" s="2" t="s">
        <v>298</v>
      </c>
      <c r="C291" s="5" t="s">
        <v>462</v>
      </c>
      <c r="D291" s="7" t="s">
        <v>320</v>
      </c>
      <c r="E291" s="37">
        <v>0.25</v>
      </c>
      <c r="F291" s="2"/>
      <c r="G291" s="2"/>
    </row>
    <row r="292" spans="1:7" ht="27.6" outlineLevel="1" x14ac:dyDescent="0.25">
      <c r="A292" s="2">
        <v>8</v>
      </c>
      <c r="B292" s="2" t="s">
        <v>463</v>
      </c>
      <c r="C292" s="5" t="s">
        <v>464</v>
      </c>
      <c r="D292" s="7" t="s">
        <v>348</v>
      </c>
      <c r="E292" s="37">
        <v>0.25</v>
      </c>
      <c r="F292" s="2"/>
      <c r="G292" s="2"/>
    </row>
    <row r="293" spans="1:7" outlineLevel="1" x14ac:dyDescent="0.25">
      <c r="A293" s="2">
        <v>9</v>
      </c>
      <c r="B293" s="14" t="s">
        <v>463</v>
      </c>
      <c r="C293" s="14" t="s">
        <v>466</v>
      </c>
      <c r="D293" s="3">
        <v>3</v>
      </c>
      <c r="E293" s="102">
        <v>0.25</v>
      </c>
      <c r="F293" s="3"/>
      <c r="G293" s="3"/>
    </row>
    <row r="294" spans="1:7" outlineLevel="1" x14ac:dyDescent="0.25">
      <c r="A294" s="2">
        <v>10</v>
      </c>
      <c r="B294" s="14" t="s">
        <v>463</v>
      </c>
      <c r="C294" s="14" t="s">
        <v>467</v>
      </c>
      <c r="D294" s="3">
        <v>4</v>
      </c>
      <c r="E294" s="102">
        <v>0.3</v>
      </c>
      <c r="F294" s="3"/>
      <c r="G294" s="3"/>
    </row>
    <row r="295" spans="1:7" ht="55.2" outlineLevel="1" x14ac:dyDescent="0.25">
      <c r="A295" s="2">
        <v>11</v>
      </c>
      <c r="B295" s="2" t="s">
        <v>469</v>
      </c>
      <c r="C295" s="5" t="s">
        <v>471</v>
      </c>
      <c r="D295" s="7" t="s">
        <v>470</v>
      </c>
      <c r="E295" s="37">
        <v>0.2</v>
      </c>
      <c r="F295" s="5" t="s">
        <v>476</v>
      </c>
      <c r="G295" s="2"/>
    </row>
    <row r="296" spans="1:7" outlineLevel="1" x14ac:dyDescent="0.25">
      <c r="A296" s="2">
        <v>12</v>
      </c>
      <c r="B296" s="2" t="s">
        <v>474</v>
      </c>
      <c r="C296" s="2" t="s">
        <v>475</v>
      </c>
      <c r="D296" s="4">
        <v>1</v>
      </c>
      <c r="E296" s="16">
        <v>0.3</v>
      </c>
      <c r="F296" s="4"/>
      <c r="G296" s="2"/>
    </row>
    <row r="297" spans="1:7" outlineLevel="1" x14ac:dyDescent="0.25">
      <c r="A297" s="28"/>
      <c r="B297" s="28"/>
      <c r="C297" s="28"/>
      <c r="D297" s="28"/>
      <c r="E297" s="58"/>
      <c r="F297" s="28"/>
      <c r="G297" s="28"/>
    </row>
    <row r="298" spans="1:7" outlineLevel="1" x14ac:dyDescent="0.25">
      <c r="B298" s="1" t="s">
        <v>477</v>
      </c>
    </row>
    <row r="299" spans="1:7" outlineLevel="1" x14ac:dyDescent="0.25">
      <c r="B299" s="1" t="s">
        <v>473</v>
      </c>
    </row>
    <row r="300" spans="1:7" outlineLevel="1" x14ac:dyDescent="0.25">
      <c r="B300" s="1" t="s">
        <v>167</v>
      </c>
    </row>
    <row r="301" spans="1:7" outlineLevel="1" x14ac:dyDescent="0.25">
      <c r="B301" s="1" t="s">
        <v>472</v>
      </c>
      <c r="E301" s="1" t="s">
        <v>465</v>
      </c>
    </row>
    <row r="302" spans="1:7" outlineLevel="1" x14ac:dyDescent="0.25">
      <c r="B302" s="1" t="s">
        <v>418</v>
      </c>
    </row>
    <row r="303" spans="1:7" ht="14.4" outlineLevel="1" thickBot="1" x14ac:dyDescent="0.3">
      <c r="B303" s="1" t="s">
        <v>154</v>
      </c>
    </row>
    <row r="304" spans="1:7" ht="15" customHeight="1" thickBot="1" x14ac:dyDescent="0.3">
      <c r="A304" s="328" t="s">
        <v>529</v>
      </c>
      <c r="B304" s="329"/>
      <c r="C304" s="329"/>
      <c r="D304" s="329"/>
      <c r="E304" s="329"/>
      <c r="F304" s="329"/>
      <c r="G304" s="330"/>
    </row>
    <row r="305" spans="1:7" hidden="1" outlineLevel="1" x14ac:dyDescent="0.25">
      <c r="E305" s="103"/>
      <c r="F305" s="103"/>
      <c r="G305" s="103"/>
    </row>
    <row r="306" spans="1:7" hidden="1" outlineLevel="1" x14ac:dyDescent="0.25">
      <c r="A306" s="2">
        <v>1</v>
      </c>
      <c r="B306" s="2" t="s">
        <v>480</v>
      </c>
      <c r="C306" s="2" t="s">
        <v>481</v>
      </c>
      <c r="D306" s="114"/>
      <c r="E306" s="2"/>
      <c r="F306" s="2"/>
      <c r="G306" s="2"/>
    </row>
    <row r="307" spans="1:7" hidden="1" outlineLevel="1" x14ac:dyDescent="0.25">
      <c r="A307" s="2">
        <v>2</v>
      </c>
      <c r="B307" s="2" t="s">
        <v>478</v>
      </c>
      <c r="C307" s="2" t="s">
        <v>479</v>
      </c>
      <c r="D307" s="114">
        <v>3</v>
      </c>
      <c r="E307" s="2"/>
      <c r="F307" s="2"/>
      <c r="G307" s="2"/>
    </row>
    <row r="308" spans="1:7" ht="41.4" hidden="1" outlineLevel="1" x14ac:dyDescent="0.25">
      <c r="A308" s="2">
        <v>3</v>
      </c>
      <c r="B308" s="8" t="s">
        <v>482</v>
      </c>
      <c r="C308" s="4" t="s">
        <v>525</v>
      </c>
      <c r="D308" s="5" t="s">
        <v>526</v>
      </c>
      <c r="E308" s="2"/>
      <c r="F308" s="2"/>
      <c r="G308" s="2"/>
    </row>
    <row r="309" spans="1:7" hidden="1" outlineLevel="1" x14ac:dyDescent="0.25">
      <c r="A309" s="2">
        <v>4</v>
      </c>
      <c r="B309" s="2" t="s">
        <v>104</v>
      </c>
      <c r="C309" s="2" t="s">
        <v>483</v>
      </c>
      <c r="D309" s="114" t="s">
        <v>484</v>
      </c>
      <c r="E309" s="2"/>
      <c r="F309" s="2"/>
      <c r="G309" s="2"/>
    </row>
    <row r="310" spans="1:7" hidden="1" outlineLevel="1" x14ac:dyDescent="0.25">
      <c r="A310" s="2">
        <v>5</v>
      </c>
      <c r="B310" s="2" t="s">
        <v>485</v>
      </c>
      <c r="C310" s="2" t="s">
        <v>520</v>
      </c>
      <c r="D310" s="114">
        <v>2</v>
      </c>
      <c r="E310" s="2"/>
      <c r="F310" s="2"/>
      <c r="G310" s="2"/>
    </row>
    <row r="311" spans="1:7" hidden="1" outlineLevel="1" x14ac:dyDescent="0.25">
      <c r="A311" s="2">
        <v>6</v>
      </c>
      <c r="B311" s="2" t="s">
        <v>486</v>
      </c>
      <c r="C311" s="2" t="s">
        <v>417</v>
      </c>
      <c r="D311" s="114">
        <v>1</v>
      </c>
      <c r="E311" s="2"/>
      <c r="F311" s="2"/>
      <c r="G311" s="2"/>
    </row>
    <row r="312" spans="1:7" hidden="1" outlineLevel="1" x14ac:dyDescent="0.25">
      <c r="A312" s="2">
        <v>7</v>
      </c>
      <c r="B312" s="75" t="s">
        <v>487</v>
      </c>
      <c r="C312" s="2" t="s">
        <v>232</v>
      </c>
      <c r="D312" s="114" t="s">
        <v>506</v>
      </c>
      <c r="E312" s="2"/>
      <c r="F312" s="2" t="s">
        <v>532</v>
      </c>
      <c r="G312" s="2" t="s">
        <v>533</v>
      </c>
    </row>
    <row r="313" spans="1:7" hidden="1" outlineLevel="1" x14ac:dyDescent="0.25">
      <c r="A313" s="2">
        <v>8</v>
      </c>
      <c r="B313" s="2" t="s">
        <v>488</v>
      </c>
      <c r="C313" s="2" t="s">
        <v>417</v>
      </c>
      <c r="D313" s="114">
        <v>1</v>
      </c>
      <c r="E313" s="2"/>
      <c r="F313" s="2"/>
      <c r="G313" s="2"/>
    </row>
    <row r="314" spans="1:7" hidden="1" outlineLevel="1" x14ac:dyDescent="0.25">
      <c r="A314" s="2">
        <v>9</v>
      </c>
      <c r="B314" s="2" t="s">
        <v>489</v>
      </c>
      <c r="C314" s="2" t="s">
        <v>360</v>
      </c>
      <c r="D314" s="114">
        <v>2</v>
      </c>
      <c r="E314" s="2"/>
      <c r="F314" s="2"/>
      <c r="G314" s="2"/>
    </row>
    <row r="315" spans="1:7" hidden="1" outlineLevel="1" x14ac:dyDescent="0.25">
      <c r="A315" s="2">
        <v>10</v>
      </c>
      <c r="B315" s="2" t="s">
        <v>511</v>
      </c>
      <c r="C315" s="2" t="s">
        <v>512</v>
      </c>
      <c r="D315" s="114">
        <v>1</v>
      </c>
      <c r="E315" s="2"/>
      <c r="F315" s="2"/>
      <c r="G315" s="2"/>
    </row>
    <row r="316" spans="1:7" hidden="1" outlineLevel="1" x14ac:dyDescent="0.25">
      <c r="A316" s="2">
        <v>11</v>
      </c>
      <c r="B316" s="75" t="s">
        <v>513</v>
      </c>
      <c r="C316" s="2" t="s">
        <v>393</v>
      </c>
      <c r="D316" s="114">
        <v>2</v>
      </c>
      <c r="E316" s="2"/>
      <c r="F316" s="2" t="s">
        <v>514</v>
      </c>
      <c r="G316" s="2"/>
    </row>
    <row r="317" spans="1:7" hidden="1" outlineLevel="1" x14ac:dyDescent="0.25">
      <c r="A317" s="2">
        <v>12</v>
      </c>
      <c r="B317" s="2" t="s">
        <v>515</v>
      </c>
      <c r="C317" s="2" t="s">
        <v>516</v>
      </c>
      <c r="D317" s="114" t="s">
        <v>517</v>
      </c>
      <c r="E317" s="2"/>
      <c r="F317" s="2"/>
      <c r="G317" s="2"/>
    </row>
    <row r="318" spans="1:7" hidden="1" outlineLevel="1" x14ac:dyDescent="0.25">
      <c r="A318" s="2">
        <v>13</v>
      </c>
      <c r="B318" s="2" t="s">
        <v>518</v>
      </c>
      <c r="C318" s="2" t="s">
        <v>519</v>
      </c>
      <c r="D318" s="114">
        <v>3</v>
      </c>
      <c r="E318" s="2"/>
      <c r="F318" s="2"/>
      <c r="G318" s="2"/>
    </row>
    <row r="319" spans="1:7" hidden="1" outlineLevel="1" x14ac:dyDescent="0.25">
      <c r="A319" s="2">
        <v>14</v>
      </c>
      <c r="B319" s="2" t="s">
        <v>521</v>
      </c>
      <c r="C319" s="2" t="s">
        <v>522</v>
      </c>
      <c r="D319" s="114">
        <v>3</v>
      </c>
      <c r="E319" s="2"/>
      <c r="F319" s="2"/>
      <c r="G319" s="2"/>
    </row>
    <row r="320" spans="1:7" hidden="1" outlineLevel="1" x14ac:dyDescent="0.25">
      <c r="A320" s="2">
        <v>15</v>
      </c>
      <c r="B320" s="2" t="s">
        <v>523</v>
      </c>
      <c r="C320" s="2" t="s">
        <v>524</v>
      </c>
      <c r="D320" s="114">
        <v>2</v>
      </c>
      <c r="E320" s="2"/>
      <c r="F320" s="2"/>
      <c r="G320" s="2"/>
    </row>
    <row r="321" spans="1:7" hidden="1" outlineLevel="1" x14ac:dyDescent="0.25"/>
    <row r="322" spans="1:7" hidden="1" outlineLevel="1" x14ac:dyDescent="0.25"/>
    <row r="323" spans="1:7" hidden="1" outlineLevel="1" x14ac:dyDescent="0.25">
      <c r="B323" s="1" t="s">
        <v>477</v>
      </c>
    </row>
    <row r="324" spans="1:7" hidden="1" outlineLevel="1" x14ac:dyDescent="0.25">
      <c r="B324" s="1" t="s">
        <v>473</v>
      </c>
    </row>
    <row r="325" spans="1:7" hidden="1" outlineLevel="1" x14ac:dyDescent="0.25">
      <c r="B325" s="1" t="s">
        <v>167</v>
      </c>
    </row>
    <row r="326" spans="1:7" hidden="1" outlineLevel="1" x14ac:dyDescent="0.25">
      <c r="B326" s="1" t="s">
        <v>510</v>
      </c>
    </row>
    <row r="327" spans="1:7" hidden="1" outlineLevel="1" x14ac:dyDescent="0.25">
      <c r="B327" s="1" t="s">
        <v>507</v>
      </c>
      <c r="C327" s="1" t="s">
        <v>509</v>
      </c>
    </row>
    <row r="328" spans="1:7" hidden="1" outlineLevel="1" x14ac:dyDescent="0.25">
      <c r="B328" s="1" t="s">
        <v>508</v>
      </c>
    </row>
    <row r="329" spans="1:7" hidden="1" outlineLevel="1" x14ac:dyDescent="0.25"/>
    <row r="330" spans="1:7" hidden="1" outlineLevel="1" x14ac:dyDescent="0.25">
      <c r="A330" s="363" t="s">
        <v>530</v>
      </c>
      <c r="B330" s="363"/>
      <c r="C330" s="363"/>
      <c r="D330" s="363"/>
      <c r="E330" s="363"/>
      <c r="F330" s="363"/>
      <c r="G330" s="363"/>
    </row>
    <row r="331" spans="1:7" hidden="1" outlineLevel="1" x14ac:dyDescent="0.25">
      <c r="A331" s="2">
        <v>1</v>
      </c>
      <c r="B331" s="2" t="s">
        <v>58</v>
      </c>
      <c r="C331" s="2" t="s">
        <v>230</v>
      </c>
      <c r="D331" s="2">
        <v>1</v>
      </c>
      <c r="E331" s="37">
        <v>0.2</v>
      </c>
      <c r="F331" s="2"/>
      <c r="G331" s="18">
        <v>45464</v>
      </c>
    </row>
    <row r="332" spans="1:7" hidden="1" outlineLevel="1" x14ac:dyDescent="0.25">
      <c r="A332" s="2">
        <v>2</v>
      </c>
      <c r="B332" s="2" t="s">
        <v>531</v>
      </c>
      <c r="C332" s="2" t="s">
        <v>524</v>
      </c>
      <c r="D332" s="2">
        <v>3</v>
      </c>
      <c r="E332" s="2"/>
      <c r="F332" s="2" t="s">
        <v>536</v>
      </c>
      <c r="G332" s="2"/>
    </row>
    <row r="333" spans="1:7" hidden="1" outlineLevel="1" x14ac:dyDescent="0.25">
      <c r="A333" s="2">
        <v>3</v>
      </c>
      <c r="B333" s="2" t="s">
        <v>534</v>
      </c>
      <c r="C333" s="2" t="s">
        <v>535</v>
      </c>
      <c r="D333" s="2">
        <v>2</v>
      </c>
      <c r="E333" s="2"/>
      <c r="F333" s="2"/>
      <c r="G333" s="2"/>
    </row>
    <row r="334" spans="1:7" hidden="1" outlineLevel="1" x14ac:dyDescent="0.25">
      <c r="A334" s="2">
        <v>4</v>
      </c>
      <c r="B334" s="2" t="s">
        <v>537</v>
      </c>
      <c r="C334" s="2" t="s">
        <v>417</v>
      </c>
      <c r="D334" s="2">
        <v>4</v>
      </c>
      <c r="E334" s="2"/>
      <c r="F334" s="2"/>
      <c r="G334" s="2"/>
    </row>
    <row r="335" spans="1:7" hidden="1" outlineLevel="1" x14ac:dyDescent="0.25">
      <c r="A335" s="2">
        <v>5</v>
      </c>
      <c r="B335" s="2" t="s">
        <v>538</v>
      </c>
      <c r="C335" s="2" t="s">
        <v>539</v>
      </c>
      <c r="D335" s="2">
        <v>2</v>
      </c>
      <c r="E335" s="2"/>
      <c r="F335" s="2" t="s">
        <v>540</v>
      </c>
      <c r="G335" s="2"/>
    </row>
    <row r="336" spans="1:7" hidden="1" outlineLevel="1" x14ac:dyDescent="0.25">
      <c r="A336" s="2">
        <v>6</v>
      </c>
      <c r="B336" s="2" t="s">
        <v>541</v>
      </c>
      <c r="C336" s="2" t="s">
        <v>542</v>
      </c>
      <c r="D336" s="2">
        <v>3</v>
      </c>
      <c r="E336" s="115">
        <v>0.27500000000000002</v>
      </c>
      <c r="F336" s="2" t="s">
        <v>543</v>
      </c>
      <c r="G336" s="2"/>
    </row>
    <row r="337" spans="1:7" hidden="1" outlineLevel="1" x14ac:dyDescent="0.25">
      <c r="A337" s="2">
        <v>7</v>
      </c>
      <c r="B337" s="2" t="s">
        <v>544</v>
      </c>
      <c r="C337" s="2" t="s">
        <v>545</v>
      </c>
      <c r="D337" s="2">
        <v>2</v>
      </c>
      <c r="E337" s="116">
        <v>10813000</v>
      </c>
      <c r="F337" s="2" t="s">
        <v>546</v>
      </c>
      <c r="G337" s="2" t="s">
        <v>547</v>
      </c>
    </row>
    <row r="338" spans="1:7" hidden="1" outlineLevel="1" x14ac:dyDescent="0.25"/>
    <row r="339" spans="1:7" hidden="1" outlineLevel="1" x14ac:dyDescent="0.25"/>
    <row r="340" spans="1:7" hidden="1" outlineLevel="1" x14ac:dyDescent="0.25">
      <c r="B340" s="1" t="s">
        <v>477</v>
      </c>
    </row>
    <row r="341" spans="1:7" hidden="1" outlineLevel="1" x14ac:dyDescent="0.25">
      <c r="B341" s="1" t="s">
        <v>473</v>
      </c>
    </row>
    <row r="342" spans="1:7" hidden="1" outlineLevel="1" x14ac:dyDescent="0.25">
      <c r="B342" s="1" t="s">
        <v>167</v>
      </c>
    </row>
    <row r="343" spans="1:7" hidden="1" outlineLevel="1" x14ac:dyDescent="0.25">
      <c r="B343" s="1" t="s">
        <v>548</v>
      </c>
    </row>
    <row r="344" spans="1:7" hidden="1" outlineLevel="1" x14ac:dyDescent="0.25">
      <c r="B344" s="1" t="s">
        <v>153</v>
      </c>
    </row>
    <row r="345" spans="1:7" hidden="1" outlineLevel="1" x14ac:dyDescent="0.25">
      <c r="B345" s="1" t="s">
        <v>154</v>
      </c>
    </row>
    <row r="346" spans="1:7" collapsed="1" x14ac:dyDescent="0.25"/>
    <row r="347" spans="1:7" ht="14.4" hidden="1" outlineLevel="1" thickBot="1" x14ac:dyDescent="0.3">
      <c r="A347" s="325" t="s">
        <v>549</v>
      </c>
      <c r="B347" s="326"/>
      <c r="C347" s="326"/>
      <c r="D347" s="326"/>
      <c r="E347" s="326"/>
      <c r="F347" s="326"/>
      <c r="G347" s="330"/>
    </row>
    <row r="348" spans="1:7" hidden="1" outlineLevel="1" x14ac:dyDescent="0.25">
      <c r="A348" s="2">
        <v>1</v>
      </c>
      <c r="B348" s="2" t="s">
        <v>550</v>
      </c>
      <c r="C348" s="2" t="s">
        <v>232</v>
      </c>
      <c r="D348" s="4">
        <v>2</v>
      </c>
      <c r="E348" s="37">
        <v>0.25</v>
      </c>
      <c r="F348" s="2" t="s">
        <v>551</v>
      </c>
    </row>
    <row r="349" spans="1:7" hidden="1" outlineLevel="1" x14ac:dyDescent="0.25">
      <c r="A349" s="2">
        <v>2</v>
      </c>
      <c r="B349" s="2" t="s">
        <v>112</v>
      </c>
      <c r="C349" s="2" t="s">
        <v>552</v>
      </c>
      <c r="D349" s="4" t="s">
        <v>553</v>
      </c>
      <c r="E349" s="37">
        <v>0.25</v>
      </c>
      <c r="F349" s="2" t="s">
        <v>554</v>
      </c>
    </row>
    <row r="350" spans="1:7" hidden="1" outlineLevel="1" x14ac:dyDescent="0.25">
      <c r="A350" s="2">
        <v>3</v>
      </c>
      <c r="B350" s="2" t="s">
        <v>555</v>
      </c>
      <c r="C350" s="2" t="s">
        <v>556</v>
      </c>
      <c r="D350" s="2"/>
      <c r="E350" s="2"/>
      <c r="F350" s="2"/>
    </row>
    <row r="351" spans="1:7" hidden="1" outlineLevel="1" x14ac:dyDescent="0.25">
      <c r="A351" s="2">
        <v>4</v>
      </c>
      <c r="B351" s="2" t="s">
        <v>557</v>
      </c>
      <c r="C351" s="2" t="s">
        <v>558</v>
      </c>
      <c r="D351" s="2"/>
      <c r="E351" s="2"/>
      <c r="F351" s="2"/>
    </row>
    <row r="352" spans="1:7" hidden="1" outlineLevel="1" x14ac:dyDescent="0.25">
      <c r="A352" s="2">
        <v>5</v>
      </c>
      <c r="B352" s="2" t="s">
        <v>560</v>
      </c>
      <c r="C352" s="2" t="s">
        <v>559</v>
      </c>
      <c r="D352" s="2" t="s">
        <v>561</v>
      </c>
      <c r="E352" s="37">
        <v>0.3</v>
      </c>
      <c r="F352" s="2" t="s">
        <v>52</v>
      </c>
    </row>
    <row r="353" spans="1:6" hidden="1" outlineLevel="1" x14ac:dyDescent="0.25">
      <c r="A353" s="2">
        <v>6</v>
      </c>
      <c r="B353" s="2" t="s">
        <v>562</v>
      </c>
      <c r="C353" s="2" t="s">
        <v>449</v>
      </c>
      <c r="D353" s="2">
        <v>1</v>
      </c>
      <c r="E353" s="37">
        <v>0.3</v>
      </c>
      <c r="F353" s="2"/>
    </row>
    <row r="354" spans="1:6" hidden="1" outlineLevel="1" x14ac:dyDescent="0.25">
      <c r="A354" s="2">
        <v>7</v>
      </c>
      <c r="B354" s="2" t="s">
        <v>563</v>
      </c>
      <c r="C354" s="2" t="s">
        <v>566</v>
      </c>
      <c r="D354" s="2">
        <v>1</v>
      </c>
      <c r="E354" s="37">
        <v>0.2</v>
      </c>
      <c r="F354" s="2"/>
    </row>
    <row r="355" spans="1:6" hidden="1" outlineLevel="1" x14ac:dyDescent="0.25">
      <c r="A355" s="2">
        <v>8</v>
      </c>
      <c r="B355" s="2" t="s">
        <v>564</v>
      </c>
      <c r="C355" s="2" t="s">
        <v>417</v>
      </c>
      <c r="D355" s="2">
        <v>1</v>
      </c>
      <c r="E355" s="37">
        <v>0.2</v>
      </c>
      <c r="F355" s="2"/>
    </row>
    <row r="356" spans="1:6" hidden="1" outlineLevel="1" x14ac:dyDescent="0.25">
      <c r="A356" s="2">
        <v>9</v>
      </c>
      <c r="B356" s="2" t="s">
        <v>565</v>
      </c>
      <c r="C356" s="2" t="s">
        <v>567</v>
      </c>
      <c r="D356" s="2">
        <v>1</v>
      </c>
      <c r="E356" s="37">
        <v>0.2</v>
      </c>
      <c r="F356" s="2"/>
    </row>
    <row r="357" spans="1:6" hidden="1" outlineLevel="1" x14ac:dyDescent="0.25">
      <c r="A357" s="2">
        <v>10</v>
      </c>
      <c r="B357" s="5" t="s">
        <v>568</v>
      </c>
      <c r="C357" s="2" t="s">
        <v>451</v>
      </c>
      <c r="D357" s="2">
        <v>2</v>
      </c>
      <c r="E357" s="37">
        <v>0.25</v>
      </c>
      <c r="F357" s="2"/>
    </row>
    <row r="358" spans="1:6" ht="40.200000000000003" hidden="1" customHeight="1" outlineLevel="1" x14ac:dyDescent="0.25">
      <c r="A358" s="2">
        <v>11</v>
      </c>
      <c r="B358" s="117" t="s">
        <v>584</v>
      </c>
      <c r="C358" s="5" t="s">
        <v>581</v>
      </c>
      <c r="D358" s="48" t="s">
        <v>569</v>
      </c>
      <c r="E358" s="37">
        <v>0.25</v>
      </c>
      <c r="F358" s="5" t="s">
        <v>570</v>
      </c>
    </row>
    <row r="359" spans="1:6" hidden="1" outlineLevel="1" x14ac:dyDescent="0.25">
      <c r="A359" s="2">
        <v>12</v>
      </c>
      <c r="B359" s="214" t="s">
        <v>571</v>
      </c>
      <c r="C359" s="2" t="s">
        <v>572</v>
      </c>
      <c r="D359" s="2">
        <v>1</v>
      </c>
      <c r="E359" s="2"/>
      <c r="F359" s="2"/>
    </row>
    <row r="360" spans="1:6" hidden="1" outlineLevel="1" x14ac:dyDescent="0.25">
      <c r="A360" s="2">
        <v>13</v>
      </c>
      <c r="B360" s="2" t="s">
        <v>463</v>
      </c>
      <c r="C360" s="2" t="s">
        <v>351</v>
      </c>
      <c r="D360" s="2">
        <v>3</v>
      </c>
      <c r="E360" s="37">
        <v>0.3</v>
      </c>
      <c r="F360" s="2"/>
    </row>
    <row r="361" spans="1:6" ht="41.4" hidden="1" outlineLevel="1" x14ac:dyDescent="0.25">
      <c r="A361" s="2">
        <v>14</v>
      </c>
      <c r="B361" s="2" t="s">
        <v>463</v>
      </c>
      <c r="C361" s="5" t="s">
        <v>576</v>
      </c>
      <c r="D361" s="48" t="s">
        <v>575</v>
      </c>
      <c r="E361" s="37"/>
      <c r="F361" s="2" t="s">
        <v>574</v>
      </c>
    </row>
    <row r="362" spans="1:6" ht="27.6" hidden="1" outlineLevel="1" x14ac:dyDescent="0.25">
      <c r="A362" s="2">
        <v>15</v>
      </c>
      <c r="B362" s="2" t="s">
        <v>555</v>
      </c>
      <c r="C362" s="5" t="s">
        <v>578</v>
      </c>
      <c r="D362" s="48" t="s">
        <v>579</v>
      </c>
      <c r="E362" s="37"/>
      <c r="F362" s="2" t="s">
        <v>580</v>
      </c>
    </row>
    <row r="363" spans="1:6" hidden="1" outlineLevel="1" x14ac:dyDescent="0.25">
      <c r="A363" s="28"/>
      <c r="B363" s="28"/>
      <c r="C363" s="31"/>
      <c r="D363" s="118"/>
      <c r="E363" s="58"/>
      <c r="F363" s="28"/>
    </row>
    <row r="364" spans="1:6" hidden="1" outlineLevel="1" x14ac:dyDescent="0.25">
      <c r="B364" s="1" t="s">
        <v>577</v>
      </c>
    </row>
    <row r="365" spans="1:6" hidden="1" outlineLevel="1" x14ac:dyDescent="0.25">
      <c r="B365" s="1" t="s">
        <v>582</v>
      </c>
    </row>
    <row r="366" spans="1:6" hidden="1" outlineLevel="1" x14ac:dyDescent="0.25">
      <c r="B366" s="1" t="s">
        <v>167</v>
      </c>
    </row>
    <row r="367" spans="1:6" hidden="1" outlineLevel="1" x14ac:dyDescent="0.25">
      <c r="B367" s="1" t="s">
        <v>573</v>
      </c>
    </row>
    <row r="368" spans="1:6" hidden="1" outlineLevel="1" x14ac:dyDescent="0.25">
      <c r="B368" s="1" t="s">
        <v>153</v>
      </c>
    </row>
    <row r="369" spans="1:7" hidden="1" outlineLevel="1" x14ac:dyDescent="0.25">
      <c r="B369" s="1" t="s">
        <v>154</v>
      </c>
    </row>
    <row r="370" spans="1:7" collapsed="1" x14ac:dyDescent="0.25"/>
    <row r="371" spans="1:7" ht="14.4" hidden="1" outlineLevel="1" thickBot="1" x14ac:dyDescent="0.3">
      <c r="A371" s="328" t="s">
        <v>583</v>
      </c>
      <c r="B371" s="329"/>
      <c r="C371" s="329"/>
      <c r="D371" s="329"/>
      <c r="E371" s="329"/>
      <c r="F371" s="330"/>
      <c r="G371" s="119"/>
    </row>
    <row r="372" spans="1:7" ht="27.6" hidden="1" outlineLevel="1" x14ac:dyDescent="0.25">
      <c r="A372" s="9">
        <v>1</v>
      </c>
      <c r="B372" s="9" t="s">
        <v>585</v>
      </c>
      <c r="C372" s="33" t="s">
        <v>587</v>
      </c>
      <c r="D372" s="26" t="s">
        <v>586</v>
      </c>
      <c r="E372" s="40">
        <v>0.2</v>
      </c>
      <c r="F372" s="9"/>
    </row>
    <row r="373" spans="1:7" hidden="1" outlineLevel="1" x14ac:dyDescent="0.25">
      <c r="A373" s="2">
        <v>2</v>
      </c>
      <c r="B373" s="2" t="s">
        <v>588</v>
      </c>
      <c r="C373" s="2" t="s">
        <v>593</v>
      </c>
      <c r="D373" s="4">
        <v>3</v>
      </c>
      <c r="E373" s="37">
        <v>0.25</v>
      </c>
      <c r="F373" s="2" t="s">
        <v>594</v>
      </c>
    </row>
    <row r="374" spans="1:7" ht="27.6" hidden="1" outlineLevel="1" x14ac:dyDescent="0.25">
      <c r="A374" s="2">
        <v>3</v>
      </c>
      <c r="B374" s="2" t="s">
        <v>589</v>
      </c>
      <c r="C374" s="5" t="s">
        <v>591</v>
      </c>
      <c r="D374" s="7" t="s">
        <v>590</v>
      </c>
      <c r="E374" s="37">
        <v>0.25</v>
      </c>
      <c r="F374" s="2" t="s">
        <v>592</v>
      </c>
    </row>
    <row r="375" spans="1:7" hidden="1" outlineLevel="1" x14ac:dyDescent="0.25">
      <c r="A375" s="2">
        <v>4</v>
      </c>
      <c r="B375" s="2" t="s">
        <v>595</v>
      </c>
      <c r="C375" s="2" t="s">
        <v>596</v>
      </c>
      <c r="D375" s="4" t="s">
        <v>597</v>
      </c>
      <c r="E375" s="116">
        <v>19095000</v>
      </c>
      <c r="F375" s="2"/>
    </row>
    <row r="376" spans="1:7" ht="27.6" hidden="1" outlineLevel="1" x14ac:dyDescent="0.25">
      <c r="A376" s="2">
        <v>5</v>
      </c>
      <c r="B376" s="5" t="s">
        <v>613</v>
      </c>
      <c r="C376" s="2" t="s">
        <v>598</v>
      </c>
      <c r="D376" s="4">
        <v>1</v>
      </c>
      <c r="E376" s="2"/>
      <c r="F376" s="2"/>
    </row>
    <row r="377" spans="1:7" hidden="1" outlineLevel="1" x14ac:dyDescent="0.25">
      <c r="A377" s="2">
        <v>6</v>
      </c>
      <c r="B377" s="2" t="s">
        <v>289</v>
      </c>
      <c r="C377" s="2" t="s">
        <v>599</v>
      </c>
      <c r="D377" s="4" t="s">
        <v>600</v>
      </c>
      <c r="E377" s="37">
        <v>0.3</v>
      </c>
      <c r="F377" s="2"/>
    </row>
    <row r="378" spans="1:7" hidden="1" outlineLevel="1" x14ac:dyDescent="0.25">
      <c r="A378" s="2">
        <v>7</v>
      </c>
      <c r="B378" s="2" t="s">
        <v>606</v>
      </c>
      <c r="C378" s="2" t="s">
        <v>607</v>
      </c>
      <c r="D378" s="4">
        <v>1</v>
      </c>
      <c r="E378" s="37">
        <v>0.25</v>
      </c>
      <c r="F378" s="2"/>
    </row>
    <row r="379" spans="1:7" ht="41.4" hidden="1" outlineLevel="1" x14ac:dyDescent="0.25">
      <c r="A379" s="2">
        <v>8</v>
      </c>
      <c r="B379" s="2" t="s">
        <v>610</v>
      </c>
      <c r="C379" s="5" t="s">
        <v>612</v>
      </c>
      <c r="D379" s="7" t="s">
        <v>611</v>
      </c>
      <c r="E379" s="2"/>
      <c r="F379" s="2"/>
    </row>
    <row r="380" spans="1:7" ht="27.6" hidden="1" outlineLevel="1" x14ac:dyDescent="0.25">
      <c r="A380" s="2">
        <v>9</v>
      </c>
      <c r="B380" s="2" t="s">
        <v>61</v>
      </c>
      <c r="C380" s="5" t="s">
        <v>614</v>
      </c>
      <c r="D380" s="7" t="s">
        <v>615</v>
      </c>
      <c r="E380" s="37">
        <v>0.3</v>
      </c>
      <c r="F380" s="2" t="s">
        <v>616</v>
      </c>
    </row>
    <row r="381" spans="1:7" ht="58.8" hidden="1" outlineLevel="1" x14ac:dyDescent="0.25">
      <c r="A381" s="2">
        <v>10</v>
      </c>
      <c r="B381" s="5" t="s">
        <v>623</v>
      </c>
      <c r="C381" s="8" t="s">
        <v>621</v>
      </c>
      <c r="D381" s="4">
        <v>4</v>
      </c>
      <c r="E381" s="8" t="s">
        <v>622</v>
      </c>
      <c r="F381" s="121" t="s">
        <v>620</v>
      </c>
    </row>
    <row r="382" spans="1:7" hidden="1" outlineLevel="1" x14ac:dyDescent="0.25"/>
    <row r="383" spans="1:7" hidden="1" outlineLevel="1" x14ac:dyDescent="0.25">
      <c r="B383" s="1" t="s">
        <v>624</v>
      </c>
      <c r="E383" s="1" t="s">
        <v>604</v>
      </c>
      <c r="F383" s="1" t="s">
        <v>605</v>
      </c>
    </row>
    <row r="384" spans="1:7" hidden="1" outlineLevel="1" x14ac:dyDescent="0.25">
      <c r="B384" s="1" t="s">
        <v>625</v>
      </c>
      <c r="E384" s="1" t="s">
        <v>608</v>
      </c>
      <c r="F384" s="94">
        <v>2776500</v>
      </c>
    </row>
    <row r="385" spans="1:6" hidden="1" outlineLevel="1" x14ac:dyDescent="0.25">
      <c r="B385" s="1" t="s">
        <v>167</v>
      </c>
      <c r="E385" s="1" t="s">
        <v>609</v>
      </c>
      <c r="F385" s="94">
        <v>2911000</v>
      </c>
    </row>
    <row r="386" spans="1:6" hidden="1" outlineLevel="1" x14ac:dyDescent="0.25">
      <c r="B386" s="1" t="s">
        <v>601</v>
      </c>
      <c r="E386" s="1" t="s">
        <v>617</v>
      </c>
      <c r="F386" s="120">
        <v>1545000</v>
      </c>
    </row>
    <row r="387" spans="1:6" hidden="1" outlineLevel="1" x14ac:dyDescent="0.25">
      <c r="B387" s="1" t="s">
        <v>602</v>
      </c>
    </row>
    <row r="388" spans="1:6" hidden="1" outlineLevel="1" x14ac:dyDescent="0.25">
      <c r="B388" s="1" t="s">
        <v>603</v>
      </c>
    </row>
    <row r="389" spans="1:6" collapsed="1" x14ac:dyDescent="0.25"/>
    <row r="390" spans="1:6" hidden="1" outlineLevel="1" x14ac:dyDescent="0.25">
      <c r="A390" s="325" t="s">
        <v>626</v>
      </c>
      <c r="B390" s="326"/>
      <c r="C390" s="326"/>
      <c r="D390" s="326"/>
      <c r="E390" s="326"/>
      <c r="F390" s="327"/>
    </row>
    <row r="391" spans="1:6" hidden="1" outlineLevel="1" x14ac:dyDescent="0.25">
      <c r="A391" s="2">
        <v>1</v>
      </c>
      <c r="B391" s="2" t="s">
        <v>610</v>
      </c>
      <c r="C391" s="2" t="s">
        <v>627</v>
      </c>
      <c r="D391" s="4" t="s">
        <v>628</v>
      </c>
      <c r="E391" s="37">
        <v>0.3</v>
      </c>
      <c r="F391" s="2"/>
    </row>
    <row r="392" spans="1:6" hidden="1" outlineLevel="1" x14ac:dyDescent="0.25">
      <c r="A392" s="2">
        <v>2</v>
      </c>
      <c r="B392" s="2" t="s">
        <v>629</v>
      </c>
      <c r="C392" s="2" t="s">
        <v>630</v>
      </c>
      <c r="D392" s="4">
        <v>1</v>
      </c>
      <c r="E392" s="37">
        <v>0.2</v>
      </c>
      <c r="F392" s="2" t="s">
        <v>631</v>
      </c>
    </row>
    <row r="393" spans="1:6" hidden="1" outlineLevel="1" x14ac:dyDescent="0.25">
      <c r="A393" s="2">
        <v>3</v>
      </c>
      <c r="B393" s="2" t="s">
        <v>496</v>
      </c>
      <c r="C393" s="2" t="s">
        <v>632</v>
      </c>
      <c r="D393" s="4">
        <v>1</v>
      </c>
      <c r="E393" s="37">
        <v>0.25</v>
      </c>
      <c r="F393" s="2"/>
    </row>
    <row r="394" spans="1:6" hidden="1" outlineLevel="1" x14ac:dyDescent="0.25">
      <c r="A394" s="2">
        <v>4</v>
      </c>
      <c r="B394" s="2" t="s">
        <v>496</v>
      </c>
      <c r="C394" s="2" t="s">
        <v>633</v>
      </c>
      <c r="D394" s="4">
        <v>1</v>
      </c>
      <c r="E394" s="37">
        <v>0.3</v>
      </c>
      <c r="F394" s="2"/>
    </row>
    <row r="395" spans="1:6" hidden="1" outlineLevel="1" x14ac:dyDescent="0.25">
      <c r="A395" s="2">
        <v>5</v>
      </c>
      <c r="B395" s="2" t="s">
        <v>634</v>
      </c>
      <c r="C395" s="2" t="s">
        <v>635</v>
      </c>
      <c r="D395" s="4">
        <v>3</v>
      </c>
      <c r="E395" s="37">
        <v>0.3</v>
      </c>
      <c r="F395" s="2" t="s">
        <v>638</v>
      </c>
    </row>
    <row r="396" spans="1:6" hidden="1" outlineLevel="1" x14ac:dyDescent="0.25">
      <c r="A396" s="2">
        <v>6</v>
      </c>
      <c r="B396" s="2" t="s">
        <v>637</v>
      </c>
      <c r="C396" s="2" t="s">
        <v>636</v>
      </c>
      <c r="D396" s="4">
        <v>2</v>
      </c>
      <c r="E396" s="116">
        <v>19026000</v>
      </c>
      <c r="F396" s="2"/>
    </row>
    <row r="397" spans="1:6" hidden="1" outlineLevel="1" x14ac:dyDescent="0.25">
      <c r="A397" s="2">
        <v>7</v>
      </c>
      <c r="B397" s="2" t="s">
        <v>639</v>
      </c>
      <c r="C397" s="2" t="s">
        <v>635</v>
      </c>
      <c r="D397" s="4">
        <v>3</v>
      </c>
      <c r="E397" s="37">
        <v>0.3</v>
      </c>
      <c r="F397" s="2"/>
    </row>
    <row r="398" spans="1:6" ht="27.6" hidden="1" outlineLevel="1" x14ac:dyDescent="0.25">
      <c r="A398" s="2">
        <v>8</v>
      </c>
      <c r="B398" s="2" t="s">
        <v>640</v>
      </c>
      <c r="C398" s="5" t="s">
        <v>642</v>
      </c>
      <c r="D398" s="7" t="s">
        <v>641</v>
      </c>
      <c r="E398" s="37">
        <v>0.3</v>
      </c>
      <c r="F398" s="2"/>
    </row>
    <row r="399" spans="1:6" hidden="1" outlineLevel="1" x14ac:dyDescent="0.25">
      <c r="A399" s="2">
        <v>9</v>
      </c>
      <c r="B399" s="2" t="s">
        <v>643</v>
      </c>
      <c r="C399" s="2" t="s">
        <v>644</v>
      </c>
      <c r="D399" s="4">
        <v>1</v>
      </c>
      <c r="E399" s="16">
        <v>0.25</v>
      </c>
      <c r="F399" s="2"/>
    </row>
    <row r="400" spans="1:6" ht="27.6" hidden="1" outlineLevel="1" x14ac:dyDescent="0.25">
      <c r="A400" s="2">
        <v>10</v>
      </c>
      <c r="B400" s="122" t="s">
        <v>645</v>
      </c>
      <c r="C400" s="2" t="s">
        <v>646</v>
      </c>
      <c r="D400" s="7" t="s">
        <v>47</v>
      </c>
      <c r="E400" s="7" t="s">
        <v>647</v>
      </c>
      <c r="F400" s="2"/>
    </row>
    <row r="401" spans="1:6" hidden="1" outlineLevel="1" x14ac:dyDescent="0.25"/>
    <row r="402" spans="1:6" ht="14.4" collapsed="1" thickBot="1" x14ac:dyDescent="0.3"/>
    <row r="403" spans="1:6" x14ac:dyDescent="0.25">
      <c r="A403" s="325" t="s">
        <v>678</v>
      </c>
      <c r="B403" s="326"/>
      <c r="C403" s="326"/>
      <c r="D403" s="326"/>
      <c r="E403" s="326"/>
      <c r="F403" s="327"/>
    </row>
    <row r="404" spans="1:6" hidden="1" outlineLevel="1" x14ac:dyDescent="0.25">
      <c r="A404" s="126">
        <v>1</v>
      </c>
      <c r="B404" s="126" t="s">
        <v>648</v>
      </c>
      <c r="C404" s="126" t="s">
        <v>650</v>
      </c>
      <c r="D404" s="128">
        <v>1</v>
      </c>
      <c r="E404" s="127">
        <v>0.2</v>
      </c>
      <c r="F404" s="126" t="s">
        <v>672</v>
      </c>
    </row>
    <row r="405" spans="1:6" ht="41.4" hidden="1" outlineLevel="1" x14ac:dyDescent="0.25">
      <c r="A405" s="2">
        <v>2</v>
      </c>
      <c r="B405" s="2" t="s">
        <v>666</v>
      </c>
      <c r="C405" s="5" t="s">
        <v>665</v>
      </c>
      <c r="D405" s="4">
        <v>1</v>
      </c>
      <c r="E405" s="343" t="s">
        <v>651</v>
      </c>
      <c r="F405" s="343"/>
    </row>
    <row r="406" spans="1:6" hidden="1" outlineLevel="1" x14ac:dyDescent="0.25">
      <c r="A406" s="2">
        <v>3</v>
      </c>
      <c r="B406" s="129" t="s">
        <v>652</v>
      </c>
      <c r="C406" s="2" t="s">
        <v>653</v>
      </c>
      <c r="D406" s="4">
        <v>1</v>
      </c>
      <c r="E406" s="37">
        <v>0.15</v>
      </c>
      <c r="F406" s="2" t="s">
        <v>664</v>
      </c>
    </row>
    <row r="407" spans="1:6" hidden="1" outlineLevel="1" x14ac:dyDescent="0.25">
      <c r="A407" s="2">
        <v>4</v>
      </c>
      <c r="B407" s="2" t="s">
        <v>663</v>
      </c>
      <c r="C407" s="2" t="s">
        <v>654</v>
      </c>
      <c r="D407" s="2" t="s">
        <v>656</v>
      </c>
      <c r="E407" s="125">
        <v>0.15</v>
      </c>
      <c r="F407" s="2" t="s">
        <v>655</v>
      </c>
    </row>
    <row r="408" spans="1:6" hidden="1" outlineLevel="1" x14ac:dyDescent="0.25">
      <c r="A408" s="146">
        <v>5</v>
      </c>
      <c r="B408" s="146" t="s">
        <v>100</v>
      </c>
      <c r="C408" s="146" t="s">
        <v>657</v>
      </c>
      <c r="D408" s="147" t="s">
        <v>658</v>
      </c>
      <c r="E408" s="148">
        <v>0.25</v>
      </c>
      <c r="F408" s="146"/>
    </row>
    <row r="409" spans="1:6" hidden="1" outlineLevel="1" x14ac:dyDescent="0.25">
      <c r="A409" s="2">
        <v>6</v>
      </c>
      <c r="B409" s="2" t="s">
        <v>659</v>
      </c>
      <c r="C409" s="2" t="s">
        <v>660</v>
      </c>
      <c r="D409" s="4">
        <v>2</v>
      </c>
      <c r="E409" s="37">
        <v>0.25</v>
      </c>
      <c r="F409" s="2"/>
    </row>
    <row r="410" spans="1:6" hidden="1" outlineLevel="1" x14ac:dyDescent="0.25">
      <c r="A410" s="2">
        <v>7</v>
      </c>
      <c r="B410" s="2" t="s">
        <v>662</v>
      </c>
      <c r="C410" s="2" t="s">
        <v>351</v>
      </c>
      <c r="D410" s="4">
        <v>1</v>
      </c>
      <c r="E410" s="37">
        <v>0.3</v>
      </c>
      <c r="F410" s="2" t="s">
        <v>661</v>
      </c>
    </row>
    <row r="411" spans="1:6" hidden="1" outlineLevel="1" x14ac:dyDescent="0.25">
      <c r="A411" s="2">
        <v>8</v>
      </c>
      <c r="B411" s="2" t="s">
        <v>667</v>
      </c>
      <c r="C411" s="2" t="s">
        <v>232</v>
      </c>
      <c r="D411" s="3">
        <v>2</v>
      </c>
      <c r="E411" s="37">
        <v>0.2</v>
      </c>
      <c r="F411" s="2"/>
    </row>
    <row r="412" spans="1:6" hidden="1" outlineLevel="1" x14ac:dyDescent="0.25"/>
    <row r="413" spans="1:6" hidden="1" outlineLevel="1" x14ac:dyDescent="0.25">
      <c r="B413" s="1" t="s">
        <v>364</v>
      </c>
    </row>
    <row r="414" spans="1:6" hidden="1" outlineLevel="1" x14ac:dyDescent="0.25">
      <c r="B414" s="1" t="s">
        <v>668</v>
      </c>
    </row>
    <row r="415" spans="1:6" hidden="1" outlineLevel="1" x14ac:dyDescent="0.25">
      <c r="B415" s="1" t="s">
        <v>669</v>
      </c>
    </row>
    <row r="416" spans="1:6" hidden="1" outlineLevel="1" x14ac:dyDescent="0.25">
      <c r="B416" s="1" t="s">
        <v>670</v>
      </c>
    </row>
    <row r="417" spans="1:6" hidden="1" outlineLevel="1" x14ac:dyDescent="0.25">
      <c r="B417" s="1" t="s">
        <v>671</v>
      </c>
    </row>
    <row r="418" spans="1:6" ht="14.4" hidden="1" outlineLevel="1" thickBot="1" x14ac:dyDescent="0.3"/>
    <row r="419" spans="1:6" ht="14.4" hidden="1" outlineLevel="1" thickBot="1" x14ac:dyDescent="0.3">
      <c r="A419" s="328" t="s">
        <v>679</v>
      </c>
      <c r="B419" s="329"/>
      <c r="C419" s="329"/>
      <c r="D419" s="329"/>
      <c r="E419" s="329"/>
      <c r="F419" s="330"/>
    </row>
    <row r="420" spans="1:6" hidden="1" outlineLevel="1" x14ac:dyDescent="0.25">
      <c r="A420" s="9">
        <v>1</v>
      </c>
      <c r="B420" s="9" t="s">
        <v>680</v>
      </c>
      <c r="C420" s="9" t="s">
        <v>355</v>
      </c>
      <c r="D420" s="24">
        <v>2</v>
      </c>
      <c r="E420" s="9"/>
      <c r="F420" s="9" t="s">
        <v>682</v>
      </c>
    </row>
    <row r="421" spans="1:6" ht="27.6" hidden="1" outlineLevel="1" x14ac:dyDescent="0.25">
      <c r="A421" s="2">
        <v>2</v>
      </c>
      <c r="B421" s="2" t="s">
        <v>681</v>
      </c>
      <c r="C421" s="5" t="s">
        <v>711</v>
      </c>
      <c r="D421" s="7" t="s">
        <v>712</v>
      </c>
      <c r="E421" s="2"/>
      <c r="F421" s="2" t="s">
        <v>682</v>
      </c>
    </row>
    <row r="422" spans="1:6" ht="41.4" hidden="1" outlineLevel="1" x14ac:dyDescent="0.25">
      <c r="A422" s="2">
        <v>3</v>
      </c>
      <c r="B422" s="8" t="s">
        <v>683</v>
      </c>
      <c r="C422" s="5" t="s">
        <v>685</v>
      </c>
      <c r="D422" s="7" t="s">
        <v>684</v>
      </c>
      <c r="E422" s="2"/>
      <c r="F422" s="2"/>
    </row>
    <row r="423" spans="1:6" ht="27.6" hidden="1" outlineLevel="1" x14ac:dyDescent="0.25">
      <c r="A423" s="2">
        <v>4</v>
      </c>
      <c r="B423" s="8" t="s">
        <v>686</v>
      </c>
      <c r="C423" s="5" t="s">
        <v>690</v>
      </c>
      <c r="D423" s="5" t="s">
        <v>615</v>
      </c>
      <c r="E423" s="2"/>
      <c r="F423" s="2"/>
    </row>
    <row r="424" spans="1:6" hidden="1" outlineLevel="1" x14ac:dyDescent="0.25">
      <c r="A424" s="2">
        <v>5</v>
      </c>
      <c r="B424" s="2" t="s">
        <v>687</v>
      </c>
      <c r="C424" s="2" t="s">
        <v>688</v>
      </c>
      <c r="D424" s="2">
        <v>111</v>
      </c>
      <c r="E424" s="2" t="s">
        <v>152</v>
      </c>
      <c r="F424" s="2" t="s">
        <v>689</v>
      </c>
    </row>
    <row r="425" spans="1:6" hidden="1" outlineLevel="1" x14ac:dyDescent="0.25">
      <c r="A425" s="2">
        <v>6</v>
      </c>
      <c r="B425" s="2" t="s">
        <v>691</v>
      </c>
      <c r="C425" s="2" t="s">
        <v>692</v>
      </c>
      <c r="D425" s="2">
        <v>1</v>
      </c>
      <c r="E425" s="37">
        <v>0.25</v>
      </c>
      <c r="F425" s="2" t="s">
        <v>693</v>
      </c>
    </row>
    <row r="426" spans="1:6" hidden="1" outlineLevel="1" x14ac:dyDescent="0.25">
      <c r="A426" s="2">
        <v>7</v>
      </c>
      <c r="B426" s="2" t="s">
        <v>694</v>
      </c>
      <c r="C426" s="5" t="s">
        <v>695</v>
      </c>
      <c r="D426" s="2">
        <v>1</v>
      </c>
      <c r="E426" s="37">
        <v>0.2</v>
      </c>
      <c r="F426" s="2"/>
    </row>
    <row r="427" spans="1:6" hidden="1" outlineLevel="1" x14ac:dyDescent="0.25">
      <c r="A427" s="2">
        <v>8</v>
      </c>
      <c r="B427" s="2" t="s">
        <v>643</v>
      </c>
      <c r="C427" s="2" t="s">
        <v>426</v>
      </c>
      <c r="D427" s="2">
        <v>1</v>
      </c>
      <c r="E427" s="2" t="s">
        <v>152</v>
      </c>
      <c r="F427" s="2" t="s">
        <v>696</v>
      </c>
    </row>
    <row r="428" spans="1:6" hidden="1" outlineLevel="1" x14ac:dyDescent="0.25">
      <c r="A428" s="2">
        <v>9</v>
      </c>
      <c r="B428" s="2" t="s">
        <v>697</v>
      </c>
      <c r="C428" s="2" t="s">
        <v>232</v>
      </c>
      <c r="D428" s="2">
        <v>1</v>
      </c>
      <c r="E428" s="37">
        <v>0.25</v>
      </c>
      <c r="F428" s="2" t="s">
        <v>698</v>
      </c>
    </row>
    <row r="429" spans="1:6" ht="27.6" hidden="1" outlineLevel="1" x14ac:dyDescent="0.25">
      <c r="A429" s="2">
        <v>10</v>
      </c>
      <c r="B429" s="5" t="s">
        <v>700</v>
      </c>
      <c r="C429" s="2" t="s">
        <v>701</v>
      </c>
      <c r="D429" s="390" t="s">
        <v>702</v>
      </c>
      <c r="E429" s="390"/>
      <c r="F429" s="390"/>
    </row>
    <row r="430" spans="1:6" hidden="1" outlineLevel="1" x14ac:dyDescent="0.25">
      <c r="A430" s="2">
        <v>11</v>
      </c>
      <c r="B430" s="2" t="s">
        <v>703</v>
      </c>
      <c r="C430" s="2" t="s">
        <v>232</v>
      </c>
      <c r="D430" s="2">
        <v>2</v>
      </c>
      <c r="E430" s="37">
        <v>0.25</v>
      </c>
      <c r="F430" s="149" t="s">
        <v>704</v>
      </c>
    </row>
    <row r="431" spans="1:6" hidden="1" outlineLevel="1" x14ac:dyDescent="0.25">
      <c r="A431" s="2">
        <v>12</v>
      </c>
      <c r="B431" s="2" t="s">
        <v>705</v>
      </c>
      <c r="C431" s="2" t="s">
        <v>701</v>
      </c>
      <c r="D431" s="343" t="s">
        <v>706</v>
      </c>
      <c r="E431" s="343"/>
      <c r="F431" s="343"/>
    </row>
    <row r="432" spans="1:6" hidden="1" outlineLevel="1" x14ac:dyDescent="0.25">
      <c r="A432" s="2">
        <v>13</v>
      </c>
      <c r="B432" s="2" t="s">
        <v>707</v>
      </c>
      <c r="C432" s="2" t="s">
        <v>701</v>
      </c>
      <c r="D432" s="343" t="s">
        <v>706</v>
      </c>
      <c r="E432" s="343"/>
      <c r="F432" s="343"/>
    </row>
    <row r="433" spans="1:6" ht="41.4" hidden="1" outlineLevel="1" x14ac:dyDescent="0.25">
      <c r="A433" s="2">
        <v>14</v>
      </c>
      <c r="B433" s="8" t="s">
        <v>708</v>
      </c>
      <c r="C433" s="5" t="s">
        <v>710</v>
      </c>
      <c r="D433" s="5" t="s">
        <v>709</v>
      </c>
      <c r="E433" s="37">
        <v>0.25</v>
      </c>
      <c r="F433" s="2"/>
    </row>
    <row r="434" spans="1:6" ht="41.4" hidden="1" outlineLevel="1" x14ac:dyDescent="0.25">
      <c r="A434" s="2">
        <v>15</v>
      </c>
      <c r="B434" s="150" t="s">
        <v>713</v>
      </c>
      <c r="C434" s="4" t="s">
        <v>714</v>
      </c>
      <c r="D434" s="4">
        <v>3</v>
      </c>
      <c r="E434" s="2"/>
      <c r="F434" s="151" t="s">
        <v>715</v>
      </c>
    </row>
    <row r="435" spans="1:6" ht="14.4" hidden="1" outlineLevel="1" x14ac:dyDescent="0.3">
      <c r="B435"/>
    </row>
    <row r="436" spans="1:6" hidden="1" outlineLevel="1" x14ac:dyDescent="0.25">
      <c r="B436" s="152" t="s">
        <v>477</v>
      </c>
    </row>
    <row r="437" spans="1:6" hidden="1" outlineLevel="1" x14ac:dyDescent="0.25">
      <c r="B437" s="1" t="s">
        <v>473</v>
      </c>
    </row>
    <row r="438" spans="1:6" hidden="1" outlineLevel="1" x14ac:dyDescent="0.25">
      <c r="B438" s="1" t="s">
        <v>669</v>
      </c>
    </row>
    <row r="439" spans="1:6" hidden="1" outlineLevel="1" x14ac:dyDescent="0.25">
      <c r="B439" s="1" t="s">
        <v>670</v>
      </c>
    </row>
    <row r="440" spans="1:6" hidden="1" outlineLevel="1" x14ac:dyDescent="0.25">
      <c r="B440" s="1" t="s">
        <v>699</v>
      </c>
    </row>
    <row r="441" spans="1:6" ht="14.4" hidden="1" outlineLevel="1" thickBot="1" x14ac:dyDescent="0.3"/>
    <row r="442" spans="1:6" hidden="1" outlineLevel="1" x14ac:dyDescent="0.25">
      <c r="A442" s="325" t="s">
        <v>716</v>
      </c>
      <c r="B442" s="326"/>
      <c r="C442" s="326"/>
      <c r="D442" s="326"/>
      <c r="E442" s="326"/>
      <c r="F442" s="327"/>
    </row>
    <row r="443" spans="1:6" ht="31.2" hidden="1" outlineLevel="1" x14ac:dyDescent="0.25">
      <c r="A443" s="2">
        <v>1</v>
      </c>
      <c r="B443" s="2" t="s">
        <v>717</v>
      </c>
      <c r="C443" s="2" t="s">
        <v>718</v>
      </c>
      <c r="D443" s="2">
        <v>3</v>
      </c>
      <c r="E443" s="37">
        <v>0.25</v>
      </c>
      <c r="F443" s="151" t="s">
        <v>719</v>
      </c>
    </row>
    <row r="444" spans="1:6" hidden="1" outlineLevel="1" x14ac:dyDescent="0.25">
      <c r="A444" s="2">
        <v>2</v>
      </c>
      <c r="B444" s="5" t="s">
        <v>720</v>
      </c>
      <c r="C444" s="2" t="s">
        <v>520</v>
      </c>
      <c r="D444" s="2">
        <v>1</v>
      </c>
      <c r="E444" s="37">
        <v>0.2</v>
      </c>
      <c r="F444" s="2"/>
    </row>
    <row r="445" spans="1:6" hidden="1" outlineLevel="1" x14ac:dyDescent="0.25">
      <c r="A445" s="2">
        <v>3</v>
      </c>
      <c r="B445" s="2" t="s">
        <v>721</v>
      </c>
      <c r="C445" s="2" t="s">
        <v>230</v>
      </c>
      <c r="D445" s="2">
        <v>2</v>
      </c>
      <c r="E445" s="37">
        <v>0.2</v>
      </c>
      <c r="F445" s="2"/>
    </row>
    <row r="446" spans="1:6" ht="31.2" hidden="1" outlineLevel="1" x14ac:dyDescent="0.25">
      <c r="A446" s="2">
        <v>4</v>
      </c>
      <c r="B446" s="2" t="s">
        <v>722</v>
      </c>
      <c r="C446" s="2" t="s">
        <v>723</v>
      </c>
      <c r="D446" s="4" t="s">
        <v>724</v>
      </c>
      <c r="E446" s="37">
        <v>0.25</v>
      </c>
      <c r="F446" s="151" t="s">
        <v>727</v>
      </c>
    </row>
    <row r="447" spans="1:6" hidden="1" outlineLevel="1" x14ac:dyDescent="0.25">
      <c r="A447" s="2">
        <v>5</v>
      </c>
      <c r="B447" s="2" t="s">
        <v>722</v>
      </c>
      <c r="C447" s="2" t="s">
        <v>725</v>
      </c>
      <c r="D447" s="2">
        <v>2</v>
      </c>
      <c r="E447" s="37">
        <v>0.25</v>
      </c>
      <c r="F447" s="2"/>
    </row>
    <row r="448" spans="1:6" hidden="1" outlineLevel="1" x14ac:dyDescent="0.25">
      <c r="A448" s="2">
        <v>6</v>
      </c>
      <c r="B448" s="2" t="s">
        <v>726</v>
      </c>
      <c r="C448" s="2" t="s">
        <v>232</v>
      </c>
      <c r="D448" s="2">
        <v>3</v>
      </c>
      <c r="E448" s="37">
        <v>0.25</v>
      </c>
      <c r="F448" s="2"/>
    </row>
    <row r="449" spans="1:6" hidden="1" outlineLevel="1" x14ac:dyDescent="0.25">
      <c r="A449" s="2">
        <v>7</v>
      </c>
      <c r="B449" s="2" t="s">
        <v>726</v>
      </c>
      <c r="C449" s="2" t="s">
        <v>360</v>
      </c>
      <c r="D449" s="2">
        <v>3</v>
      </c>
      <c r="E449" s="37">
        <v>0.25</v>
      </c>
      <c r="F449" s="2"/>
    </row>
    <row r="450" spans="1:6" hidden="1" outlineLevel="1" x14ac:dyDescent="0.25">
      <c r="A450" s="2">
        <v>8</v>
      </c>
      <c r="B450" s="2" t="s">
        <v>717</v>
      </c>
      <c r="C450" s="2" t="s">
        <v>426</v>
      </c>
      <c r="D450" s="2">
        <v>2</v>
      </c>
      <c r="E450" s="37">
        <v>0.25</v>
      </c>
      <c r="F450" s="2"/>
    </row>
    <row r="451" spans="1:6" hidden="1" outlineLevel="1" x14ac:dyDescent="0.25">
      <c r="A451" s="2">
        <v>9</v>
      </c>
      <c r="B451" s="2" t="s">
        <v>728</v>
      </c>
      <c r="C451" s="2" t="s">
        <v>467</v>
      </c>
      <c r="D451" s="2">
        <v>2</v>
      </c>
      <c r="E451" s="37">
        <v>0.25</v>
      </c>
      <c r="F451" s="2"/>
    </row>
    <row r="452" spans="1:6" hidden="1" outlineLevel="1" x14ac:dyDescent="0.25">
      <c r="A452" s="2">
        <v>10</v>
      </c>
      <c r="B452" s="2" t="s">
        <v>732</v>
      </c>
      <c r="C452" s="2" t="s">
        <v>729</v>
      </c>
      <c r="D452" s="2">
        <v>1</v>
      </c>
      <c r="E452" s="156">
        <v>1400000</v>
      </c>
      <c r="F452" s="2"/>
    </row>
    <row r="453" spans="1:6" hidden="1" outlineLevel="1" x14ac:dyDescent="0.25">
      <c r="A453" s="2">
        <v>11</v>
      </c>
      <c r="B453" s="2" t="s">
        <v>730</v>
      </c>
      <c r="C453" s="2" t="s">
        <v>742</v>
      </c>
      <c r="D453" s="2">
        <v>1</v>
      </c>
      <c r="E453" s="2"/>
      <c r="F453" s="2"/>
    </row>
    <row r="454" spans="1:6" hidden="1" outlineLevel="1" x14ac:dyDescent="0.25">
      <c r="A454" s="2">
        <v>12</v>
      </c>
      <c r="B454" s="2" t="s">
        <v>731</v>
      </c>
      <c r="C454" s="2" t="s">
        <v>737</v>
      </c>
      <c r="D454" s="2">
        <v>2</v>
      </c>
      <c r="E454" s="2"/>
      <c r="F454" s="157"/>
    </row>
    <row r="455" spans="1:6" hidden="1" outlineLevel="1" x14ac:dyDescent="0.25">
      <c r="A455" s="22">
        <v>13</v>
      </c>
      <c r="B455" s="22" t="s">
        <v>738</v>
      </c>
      <c r="C455" s="22" t="s">
        <v>739</v>
      </c>
      <c r="D455" s="22">
        <v>2</v>
      </c>
      <c r="E455" s="158">
        <v>0.2</v>
      </c>
      <c r="F455" s="22" t="s">
        <v>79</v>
      </c>
    </row>
    <row r="456" spans="1:6" hidden="1" outlineLevel="1" x14ac:dyDescent="0.25">
      <c r="A456" s="2">
        <v>14</v>
      </c>
      <c r="B456" s="2" t="s">
        <v>740</v>
      </c>
      <c r="C456" s="2" t="s">
        <v>355</v>
      </c>
      <c r="D456" s="2">
        <v>2</v>
      </c>
      <c r="E456" s="37">
        <v>0.25</v>
      </c>
      <c r="F456" s="2" t="s">
        <v>741</v>
      </c>
    </row>
    <row r="457" spans="1:6" hidden="1" outlineLevel="1" x14ac:dyDescent="0.25"/>
    <row r="458" spans="1:6" hidden="1" outlineLevel="1" x14ac:dyDescent="0.25">
      <c r="B458" s="152" t="s">
        <v>477</v>
      </c>
    </row>
    <row r="459" spans="1:6" hidden="1" outlineLevel="1" x14ac:dyDescent="0.25">
      <c r="B459" s="1" t="s">
        <v>473</v>
      </c>
    </row>
    <row r="460" spans="1:6" hidden="1" outlineLevel="1" x14ac:dyDescent="0.25">
      <c r="B460" s="1" t="s">
        <v>669</v>
      </c>
      <c r="D460" s="94">
        <v>3467000</v>
      </c>
    </row>
    <row r="461" spans="1:6" hidden="1" outlineLevel="1" x14ac:dyDescent="0.25">
      <c r="B461" s="1" t="s">
        <v>734</v>
      </c>
      <c r="F461" s="1" t="s">
        <v>735</v>
      </c>
    </row>
    <row r="462" spans="1:6" hidden="1" outlineLevel="1" x14ac:dyDescent="0.25">
      <c r="B462" s="1" t="s">
        <v>733</v>
      </c>
      <c r="C462" s="1" t="s">
        <v>81</v>
      </c>
      <c r="F462" s="1" t="s">
        <v>736</v>
      </c>
    </row>
    <row r="463" spans="1:6" collapsed="1" x14ac:dyDescent="0.25"/>
    <row r="464" spans="1:6" ht="14.4" hidden="1" outlineLevel="1" thickBot="1" x14ac:dyDescent="0.3">
      <c r="A464" s="328" t="s">
        <v>754</v>
      </c>
      <c r="B464" s="329"/>
      <c r="C464" s="329"/>
      <c r="D464" s="329"/>
      <c r="E464" s="329"/>
      <c r="F464" s="330"/>
    </row>
    <row r="465" spans="1:6" hidden="1" outlineLevel="1" x14ac:dyDescent="0.25">
      <c r="A465" s="9">
        <v>1</v>
      </c>
      <c r="B465" s="9" t="s">
        <v>726</v>
      </c>
      <c r="C465" s="9" t="s">
        <v>743</v>
      </c>
      <c r="D465" s="9">
        <v>1</v>
      </c>
      <c r="E465" s="9"/>
      <c r="F465" s="9" t="s">
        <v>749</v>
      </c>
    </row>
    <row r="466" spans="1:6" hidden="1" outlineLevel="1" x14ac:dyDescent="0.25">
      <c r="A466" s="2">
        <v>2</v>
      </c>
      <c r="B466" s="2" t="s">
        <v>457</v>
      </c>
      <c r="C466" s="2" t="s">
        <v>230</v>
      </c>
      <c r="D466" s="2">
        <v>2</v>
      </c>
      <c r="E466" s="37">
        <v>0.2</v>
      </c>
      <c r="F466" s="2"/>
    </row>
    <row r="467" spans="1:6" hidden="1" outlineLevel="1" x14ac:dyDescent="0.25">
      <c r="A467" s="2"/>
      <c r="B467" s="2"/>
      <c r="C467" s="2" t="s">
        <v>744</v>
      </c>
      <c r="D467" s="2">
        <v>2</v>
      </c>
      <c r="E467" s="37">
        <v>0.25</v>
      </c>
      <c r="F467" s="2"/>
    </row>
    <row r="468" spans="1:6" hidden="1" outlineLevel="1" x14ac:dyDescent="0.25">
      <c r="A468" s="2">
        <v>3</v>
      </c>
      <c r="B468" s="45" t="s">
        <v>745</v>
      </c>
      <c r="C468" s="45" t="s">
        <v>746</v>
      </c>
      <c r="D468" s="45">
        <v>3</v>
      </c>
      <c r="E468" s="165" t="s">
        <v>747</v>
      </c>
      <c r="F468" s="45" t="s">
        <v>748</v>
      </c>
    </row>
    <row r="469" spans="1:6" hidden="1" outlineLevel="1" x14ac:dyDescent="0.25">
      <c r="A469" s="160">
        <v>4</v>
      </c>
      <c r="B469" s="14" t="s">
        <v>750</v>
      </c>
      <c r="C469" s="14" t="s">
        <v>451</v>
      </c>
      <c r="D469" s="160">
        <v>2</v>
      </c>
      <c r="E469" s="102">
        <v>0.25</v>
      </c>
      <c r="F469" s="159" t="s">
        <v>95</v>
      </c>
    </row>
    <row r="470" spans="1:6" hidden="1" outlineLevel="1" x14ac:dyDescent="0.25">
      <c r="A470" s="2">
        <v>5</v>
      </c>
      <c r="B470" s="2" t="s">
        <v>717</v>
      </c>
      <c r="C470" s="2" t="s">
        <v>718</v>
      </c>
      <c r="D470" s="2">
        <v>3</v>
      </c>
      <c r="E470" s="37">
        <v>0.25</v>
      </c>
      <c r="F470" s="2"/>
    </row>
    <row r="471" spans="1:6" hidden="1" outlineLevel="1" x14ac:dyDescent="0.25">
      <c r="A471" s="2">
        <v>6</v>
      </c>
      <c r="B471" s="2" t="s">
        <v>555</v>
      </c>
      <c r="C471" s="2" t="s">
        <v>718</v>
      </c>
      <c r="D471" s="2">
        <v>3</v>
      </c>
      <c r="E471" s="37">
        <v>0.25</v>
      </c>
      <c r="F471" s="2"/>
    </row>
    <row r="472" spans="1:6" hidden="1" outlineLevel="1" x14ac:dyDescent="0.25">
      <c r="A472" s="2">
        <v>7</v>
      </c>
      <c r="B472" s="2" t="s">
        <v>751</v>
      </c>
      <c r="C472" s="2" t="s">
        <v>752</v>
      </c>
      <c r="D472" s="2">
        <v>2</v>
      </c>
      <c r="E472" s="2"/>
      <c r="F472" s="2"/>
    </row>
    <row r="473" spans="1:6" hidden="1" outlineLevel="1" x14ac:dyDescent="0.25">
      <c r="A473" s="2">
        <v>8</v>
      </c>
      <c r="B473" s="2" t="s">
        <v>753</v>
      </c>
      <c r="C473" s="2" t="s">
        <v>355</v>
      </c>
      <c r="D473" s="2">
        <v>1</v>
      </c>
      <c r="E473" s="37">
        <v>0.2</v>
      </c>
      <c r="F473" s="2"/>
    </row>
    <row r="474" spans="1:6" hidden="1" outlineLevel="1" x14ac:dyDescent="0.25">
      <c r="A474" s="2">
        <v>9</v>
      </c>
      <c r="B474" s="2" t="s">
        <v>755</v>
      </c>
      <c r="C474" s="2" t="s">
        <v>756</v>
      </c>
      <c r="D474" s="2" t="s">
        <v>757</v>
      </c>
      <c r="E474" s="37">
        <v>0.25</v>
      </c>
      <c r="F474" s="2"/>
    </row>
    <row r="475" spans="1:6" hidden="1" outlineLevel="1" x14ac:dyDescent="0.25">
      <c r="A475" s="2">
        <v>10</v>
      </c>
      <c r="B475" s="2" t="s">
        <v>758</v>
      </c>
      <c r="C475" s="2" t="s">
        <v>737</v>
      </c>
      <c r="D475" s="2">
        <v>2</v>
      </c>
      <c r="E475" s="2"/>
      <c r="F475" s="2" t="s">
        <v>759</v>
      </c>
    </row>
    <row r="476" spans="1:6" hidden="1" outlineLevel="1" x14ac:dyDescent="0.25">
      <c r="A476" s="2">
        <v>11</v>
      </c>
      <c r="B476" s="2" t="s">
        <v>726</v>
      </c>
      <c r="C476" s="2" t="s">
        <v>737</v>
      </c>
      <c r="D476" s="2">
        <v>2</v>
      </c>
      <c r="E476" s="2"/>
      <c r="F476" s="2" t="s">
        <v>759</v>
      </c>
    </row>
    <row r="477" spans="1:6" hidden="1" outlineLevel="1" x14ac:dyDescent="0.25"/>
    <row r="478" spans="1:6" hidden="1" outlineLevel="1" x14ac:dyDescent="0.25">
      <c r="B478" s="152" t="s">
        <v>760</v>
      </c>
    </row>
    <row r="479" spans="1:6" hidden="1" outlineLevel="1" x14ac:dyDescent="0.25">
      <c r="B479" s="1" t="s">
        <v>761</v>
      </c>
    </row>
    <row r="480" spans="1:6" hidden="1" outlineLevel="1" x14ac:dyDescent="0.25">
      <c r="B480" s="1" t="s">
        <v>762</v>
      </c>
    </row>
    <row r="481" spans="1:6" hidden="1" outlineLevel="1" x14ac:dyDescent="0.25">
      <c r="B481" s="1" t="s">
        <v>734</v>
      </c>
    </row>
    <row r="482" spans="1:6" hidden="1" outlineLevel="1" x14ac:dyDescent="0.25">
      <c r="B482" s="1" t="s">
        <v>733</v>
      </c>
    </row>
    <row r="483" spans="1:6" ht="14.4" hidden="1" outlineLevel="1" thickBot="1" x14ac:dyDescent="0.3"/>
    <row r="484" spans="1:6" ht="14.4" hidden="1" outlineLevel="1" thickBot="1" x14ac:dyDescent="0.3">
      <c r="A484" s="328" t="s">
        <v>763</v>
      </c>
      <c r="B484" s="329"/>
      <c r="C484" s="329"/>
      <c r="D484" s="329"/>
      <c r="E484" s="329"/>
      <c r="F484" s="330"/>
    </row>
    <row r="485" spans="1:6" hidden="1" outlineLevel="1" x14ac:dyDescent="0.25">
      <c r="A485" s="24">
        <v>1</v>
      </c>
      <c r="B485" s="9" t="s">
        <v>764</v>
      </c>
      <c r="C485" s="9" t="s">
        <v>355</v>
      </c>
      <c r="D485" s="9">
        <v>1</v>
      </c>
      <c r="E485" s="162">
        <v>1699000</v>
      </c>
      <c r="F485" s="9" t="s">
        <v>768</v>
      </c>
    </row>
    <row r="486" spans="1:6" ht="27.6" hidden="1" outlineLevel="1" x14ac:dyDescent="0.25">
      <c r="A486" s="4">
        <v>2</v>
      </c>
      <c r="B486" s="45" t="s">
        <v>765</v>
      </c>
      <c r="C486" s="163" t="s">
        <v>766</v>
      </c>
      <c r="D486" s="164" t="s">
        <v>48</v>
      </c>
      <c r="E486" s="46">
        <v>0.25</v>
      </c>
      <c r="F486" s="45" t="s">
        <v>767</v>
      </c>
    </row>
    <row r="487" spans="1:6" hidden="1" outlineLevel="1" x14ac:dyDescent="0.25">
      <c r="A487" s="4">
        <v>3</v>
      </c>
      <c r="B487" s="45" t="s">
        <v>769</v>
      </c>
      <c r="C487" s="45" t="s">
        <v>230</v>
      </c>
      <c r="D487" s="45">
        <v>2</v>
      </c>
      <c r="E487" s="59" t="s">
        <v>781</v>
      </c>
      <c r="F487" s="45"/>
    </row>
    <row r="488" spans="1:6" hidden="1" outlineLevel="1" x14ac:dyDescent="0.25">
      <c r="A488" s="4">
        <v>4</v>
      </c>
      <c r="B488" s="2" t="s">
        <v>541</v>
      </c>
      <c r="C488" s="2" t="s">
        <v>770</v>
      </c>
      <c r="D488" s="2">
        <v>2</v>
      </c>
      <c r="E488" s="2"/>
      <c r="F488" s="2"/>
    </row>
    <row r="489" spans="1:6" hidden="1" outlineLevel="1" x14ac:dyDescent="0.25">
      <c r="A489" s="4">
        <v>5</v>
      </c>
      <c r="B489" s="2" t="s">
        <v>758</v>
      </c>
      <c r="C489" s="2" t="s">
        <v>737</v>
      </c>
      <c r="D489" s="2">
        <v>2</v>
      </c>
      <c r="E489" s="2"/>
      <c r="F489" s="2"/>
    </row>
    <row r="490" spans="1:6" hidden="1" outlineLevel="1" x14ac:dyDescent="0.25">
      <c r="A490" s="378">
        <v>6</v>
      </c>
      <c r="B490" s="2" t="s">
        <v>771</v>
      </c>
      <c r="C490" s="2" t="s">
        <v>772</v>
      </c>
      <c r="D490" s="2">
        <v>2</v>
      </c>
      <c r="E490" s="2"/>
      <c r="F490" s="2"/>
    </row>
    <row r="491" spans="1:6" hidden="1" outlineLevel="1" x14ac:dyDescent="0.25">
      <c r="A491" s="378"/>
      <c r="B491" s="2" t="s">
        <v>771</v>
      </c>
      <c r="C491" s="2" t="s">
        <v>773</v>
      </c>
      <c r="D491" s="2">
        <v>3</v>
      </c>
      <c r="E491" s="37">
        <v>0.25</v>
      </c>
      <c r="F491" s="2"/>
    </row>
    <row r="492" spans="1:6" hidden="1" outlineLevel="1" x14ac:dyDescent="0.25">
      <c r="A492" s="4">
        <v>7</v>
      </c>
      <c r="B492" s="2" t="s">
        <v>774</v>
      </c>
      <c r="C492" s="2" t="s">
        <v>775</v>
      </c>
      <c r="D492" s="2">
        <v>1</v>
      </c>
      <c r="E492" s="37">
        <v>0.25</v>
      </c>
      <c r="F492" s="2"/>
    </row>
    <row r="493" spans="1:6" ht="27.6" hidden="1" outlineLevel="1" x14ac:dyDescent="0.25">
      <c r="A493" s="4">
        <v>8</v>
      </c>
      <c r="B493" s="2" t="s">
        <v>155</v>
      </c>
      <c r="C493" s="5" t="s">
        <v>777</v>
      </c>
      <c r="D493" s="48" t="s">
        <v>776</v>
      </c>
      <c r="E493" s="37">
        <v>0.25</v>
      </c>
      <c r="F493" s="2" t="s">
        <v>778</v>
      </c>
    </row>
    <row r="494" spans="1:6" hidden="1" outlineLevel="1" x14ac:dyDescent="0.25">
      <c r="A494" s="388">
        <v>9</v>
      </c>
      <c r="B494" s="2" t="s">
        <v>755</v>
      </c>
      <c r="C494" s="2" t="s">
        <v>782</v>
      </c>
      <c r="D494" s="2">
        <v>1</v>
      </c>
      <c r="E494" s="37">
        <v>0.25</v>
      </c>
      <c r="F494" s="2"/>
    </row>
    <row r="495" spans="1:6" hidden="1" outlineLevel="1" x14ac:dyDescent="0.25">
      <c r="A495" s="389"/>
      <c r="B495" s="2" t="s">
        <v>755</v>
      </c>
      <c r="C495" s="2" t="s">
        <v>783</v>
      </c>
      <c r="D495" s="2">
        <v>1</v>
      </c>
      <c r="E495" s="37"/>
      <c r="F495" s="2"/>
    </row>
    <row r="496" spans="1:6" hidden="1" outlineLevel="1" x14ac:dyDescent="0.25">
      <c r="A496" s="161">
        <v>10</v>
      </c>
      <c r="B496" s="2" t="s">
        <v>59</v>
      </c>
      <c r="C496" s="2" t="s">
        <v>784</v>
      </c>
      <c r="D496" s="2">
        <v>2</v>
      </c>
      <c r="E496" s="37">
        <v>0.25</v>
      </c>
      <c r="F496" s="2"/>
    </row>
    <row r="497" spans="1:6" hidden="1" outlineLevel="1" x14ac:dyDescent="0.25">
      <c r="A497" s="161">
        <v>11</v>
      </c>
      <c r="B497" s="2" t="s">
        <v>785</v>
      </c>
      <c r="C497" s="2" t="s">
        <v>232</v>
      </c>
      <c r="D497" s="2">
        <v>1</v>
      </c>
      <c r="E497" s="37" t="s">
        <v>152</v>
      </c>
      <c r="F497" s="2" t="s">
        <v>787</v>
      </c>
    </row>
    <row r="498" spans="1:6" hidden="1" outlineLevel="1" x14ac:dyDescent="0.25"/>
    <row r="499" spans="1:6" hidden="1" outlineLevel="1" x14ac:dyDescent="0.25"/>
    <row r="500" spans="1:6" hidden="1" outlineLevel="1" x14ac:dyDescent="0.25">
      <c r="B500" s="152" t="s">
        <v>760</v>
      </c>
    </row>
    <row r="501" spans="1:6" hidden="1" outlineLevel="1" x14ac:dyDescent="0.25">
      <c r="B501" s="1" t="s">
        <v>761</v>
      </c>
    </row>
    <row r="502" spans="1:6" hidden="1" outlineLevel="1" x14ac:dyDescent="0.25">
      <c r="B502" s="1" t="s">
        <v>779</v>
      </c>
      <c r="E502" s="1" t="s">
        <v>786</v>
      </c>
    </row>
    <row r="503" spans="1:6" hidden="1" outlineLevel="1" x14ac:dyDescent="0.25">
      <c r="B503" s="1" t="s">
        <v>734</v>
      </c>
      <c r="C503" s="1">
        <v>1250</v>
      </c>
    </row>
    <row r="504" spans="1:6" hidden="1" outlineLevel="1" x14ac:dyDescent="0.25">
      <c r="B504" s="1" t="s">
        <v>733</v>
      </c>
    </row>
    <row r="505" spans="1:6" hidden="1" outlineLevel="1" x14ac:dyDescent="0.25"/>
    <row r="506" spans="1:6" ht="14.4" collapsed="1" thickBot="1" x14ac:dyDescent="0.3"/>
    <row r="507" spans="1:6" ht="14.4" hidden="1" outlineLevel="1" thickBot="1" x14ac:dyDescent="0.3">
      <c r="A507" s="328" t="s">
        <v>808</v>
      </c>
      <c r="B507" s="329"/>
      <c r="C507" s="329"/>
      <c r="D507" s="329"/>
      <c r="E507" s="329"/>
      <c r="F507" s="330"/>
    </row>
    <row r="508" spans="1:6" hidden="1" outlineLevel="1" x14ac:dyDescent="0.25">
      <c r="A508" s="2">
        <v>1</v>
      </c>
      <c r="B508" s="2" t="s">
        <v>100</v>
      </c>
      <c r="C508" s="2" t="s">
        <v>788</v>
      </c>
      <c r="D508" s="2" t="s">
        <v>789</v>
      </c>
      <c r="E508" s="37">
        <v>0.25</v>
      </c>
      <c r="F508" s="2" t="s">
        <v>790</v>
      </c>
    </row>
    <row r="509" spans="1:6" hidden="1" outlineLevel="1" x14ac:dyDescent="0.25">
      <c r="A509" s="2">
        <v>2</v>
      </c>
      <c r="B509" s="2" t="s">
        <v>797</v>
      </c>
      <c r="C509" s="2" t="s">
        <v>798</v>
      </c>
      <c r="D509" s="2">
        <v>3</v>
      </c>
      <c r="E509" s="2" t="s">
        <v>799</v>
      </c>
      <c r="F509" s="2"/>
    </row>
    <row r="510" spans="1:6" hidden="1" outlineLevel="1" x14ac:dyDescent="0.25">
      <c r="A510" s="2">
        <v>3</v>
      </c>
      <c r="B510" s="2" t="s">
        <v>800</v>
      </c>
      <c r="C510" s="2" t="s">
        <v>801</v>
      </c>
      <c r="D510" s="2">
        <v>3</v>
      </c>
      <c r="E510" s="37">
        <v>0.2</v>
      </c>
      <c r="F510" s="2" t="s">
        <v>802</v>
      </c>
    </row>
    <row r="511" spans="1:6" hidden="1" outlineLevel="1" x14ac:dyDescent="0.25">
      <c r="A511" s="2">
        <v>4</v>
      </c>
      <c r="B511" s="2" t="s">
        <v>803</v>
      </c>
      <c r="C511" s="2" t="s">
        <v>556</v>
      </c>
      <c r="D511" s="2">
        <v>1</v>
      </c>
      <c r="E511" s="37">
        <v>0.3</v>
      </c>
      <c r="F511" s="2" t="s">
        <v>804</v>
      </c>
    </row>
    <row r="512" spans="1:6" hidden="1" outlineLevel="1" x14ac:dyDescent="0.25">
      <c r="A512" s="2">
        <v>5</v>
      </c>
      <c r="B512" s="2" t="s">
        <v>805</v>
      </c>
      <c r="C512" s="2" t="s">
        <v>806</v>
      </c>
      <c r="D512" s="2">
        <v>2</v>
      </c>
      <c r="E512" s="37">
        <v>0.25</v>
      </c>
      <c r="F512" s="2" t="s">
        <v>807</v>
      </c>
    </row>
    <row r="513" spans="1:6" hidden="1" outlineLevel="1" x14ac:dyDescent="0.25">
      <c r="A513" s="2">
        <v>6</v>
      </c>
      <c r="B513" s="2" t="s">
        <v>809</v>
      </c>
      <c r="C513" s="2" t="s">
        <v>810</v>
      </c>
      <c r="D513" s="2">
        <v>3</v>
      </c>
      <c r="E513" s="2"/>
      <c r="F513" s="2"/>
    </row>
    <row r="514" spans="1:6" ht="27.6" hidden="1" outlineLevel="1" x14ac:dyDescent="0.25">
      <c r="A514" s="2">
        <v>7</v>
      </c>
      <c r="B514" s="2" t="s">
        <v>812</v>
      </c>
      <c r="C514" s="5" t="s">
        <v>814</v>
      </c>
      <c r="D514" s="48" t="s">
        <v>813</v>
      </c>
      <c r="E514" s="37">
        <v>0.25</v>
      </c>
      <c r="F514" s="2"/>
    </row>
    <row r="515" spans="1:6" hidden="1" outlineLevel="1" x14ac:dyDescent="0.25">
      <c r="A515" s="2">
        <v>8</v>
      </c>
      <c r="B515" s="2" t="s">
        <v>815</v>
      </c>
      <c r="C515" s="2" t="s">
        <v>823</v>
      </c>
      <c r="D515" s="2">
        <v>1</v>
      </c>
      <c r="E515" s="37">
        <v>0.25</v>
      </c>
      <c r="F515" s="2"/>
    </row>
    <row r="516" spans="1:6" hidden="1" outlineLevel="1" x14ac:dyDescent="0.25">
      <c r="A516" s="2">
        <v>9</v>
      </c>
      <c r="B516" s="2" t="s">
        <v>816</v>
      </c>
      <c r="C516" s="2" t="s">
        <v>817</v>
      </c>
      <c r="D516" s="2">
        <v>2</v>
      </c>
      <c r="E516" s="2"/>
      <c r="F516" s="2"/>
    </row>
    <row r="517" spans="1:6" hidden="1" outlineLevel="1" x14ac:dyDescent="0.25">
      <c r="A517" s="2">
        <v>10</v>
      </c>
      <c r="B517" s="2" t="s">
        <v>818</v>
      </c>
      <c r="C517" s="2" t="s">
        <v>819</v>
      </c>
      <c r="D517" s="2">
        <v>2</v>
      </c>
      <c r="E517" s="37">
        <v>0.25</v>
      </c>
      <c r="F517" s="2"/>
    </row>
    <row r="518" spans="1:6" hidden="1" outlineLevel="1" x14ac:dyDescent="0.25">
      <c r="A518" s="2">
        <v>11</v>
      </c>
      <c r="B518" s="2" t="s">
        <v>820</v>
      </c>
      <c r="C518" s="2" t="s">
        <v>821</v>
      </c>
      <c r="D518" s="2">
        <v>2</v>
      </c>
      <c r="E518" s="2" t="s">
        <v>822</v>
      </c>
      <c r="F518" s="2"/>
    </row>
    <row r="519" spans="1:6" hidden="1" outlineLevel="1" x14ac:dyDescent="0.25"/>
    <row r="520" spans="1:6" hidden="1" outlineLevel="1" x14ac:dyDescent="0.25">
      <c r="B520" s="152" t="s">
        <v>760</v>
      </c>
    </row>
    <row r="521" spans="1:6" hidden="1" outlineLevel="1" x14ac:dyDescent="0.25">
      <c r="B521" s="1" t="s">
        <v>761</v>
      </c>
    </row>
    <row r="522" spans="1:6" hidden="1" outlineLevel="1" x14ac:dyDescent="0.25">
      <c r="B522" s="1" t="s">
        <v>826</v>
      </c>
    </row>
    <row r="523" spans="1:6" hidden="1" outlineLevel="1" x14ac:dyDescent="0.25">
      <c r="B523" s="38" t="s">
        <v>824</v>
      </c>
    </row>
    <row r="524" spans="1:6" hidden="1" outlineLevel="1" x14ac:dyDescent="0.25">
      <c r="B524" s="38" t="s">
        <v>825</v>
      </c>
      <c r="C524" s="94">
        <v>1920000</v>
      </c>
      <c r="E524" s="94">
        <f>C524+7578000</f>
        <v>9498000</v>
      </c>
    </row>
    <row r="525" spans="1:6" ht="14.4" hidden="1" outlineLevel="1" thickBot="1" x14ac:dyDescent="0.3"/>
    <row r="526" spans="1:6" ht="14.4" collapsed="1" thickBot="1" x14ac:dyDescent="0.3">
      <c r="A526" s="328" t="s">
        <v>828</v>
      </c>
      <c r="B526" s="329"/>
      <c r="C526" s="329"/>
      <c r="D526" s="329"/>
      <c r="E526" s="329"/>
      <c r="F526" s="330"/>
    </row>
    <row r="527" spans="1:6" hidden="1" outlineLevel="1" x14ac:dyDescent="0.25">
      <c r="A527" s="9">
        <v>1</v>
      </c>
      <c r="B527" s="9" t="s">
        <v>829</v>
      </c>
      <c r="C527" s="9" t="s">
        <v>520</v>
      </c>
      <c r="D527" s="9" t="s">
        <v>830</v>
      </c>
      <c r="E527" s="40">
        <v>0.2</v>
      </c>
      <c r="F527" s="9"/>
    </row>
    <row r="528" spans="1:6" hidden="1" outlineLevel="1" x14ac:dyDescent="0.25">
      <c r="A528" s="2">
        <v>2</v>
      </c>
      <c r="B528" s="2" t="s">
        <v>833</v>
      </c>
      <c r="C528" s="2" t="s">
        <v>831</v>
      </c>
      <c r="D528" s="2" t="s">
        <v>832</v>
      </c>
      <c r="E528" s="37">
        <v>0.25</v>
      </c>
      <c r="F528" s="2"/>
    </row>
    <row r="529" spans="1:6" hidden="1" outlineLevel="1" x14ac:dyDescent="0.25">
      <c r="A529" s="2">
        <v>3</v>
      </c>
      <c r="B529" s="2" t="s">
        <v>836</v>
      </c>
      <c r="C529" s="2" t="s">
        <v>426</v>
      </c>
      <c r="D529" s="2">
        <v>4</v>
      </c>
      <c r="E529" s="2" t="s">
        <v>834</v>
      </c>
      <c r="F529" s="2" t="s">
        <v>835</v>
      </c>
    </row>
    <row r="530" spans="1:6" hidden="1" outlineLevel="1" x14ac:dyDescent="0.25">
      <c r="A530" s="2">
        <v>4</v>
      </c>
      <c r="B530" s="2" t="s">
        <v>837</v>
      </c>
      <c r="C530" s="2" t="s">
        <v>838</v>
      </c>
      <c r="D530" s="2"/>
      <c r="E530" s="2"/>
      <c r="F530" s="2"/>
    </row>
    <row r="531" spans="1:6" hidden="1" outlineLevel="1" x14ac:dyDescent="0.25">
      <c r="A531" s="45">
        <v>5</v>
      </c>
      <c r="B531" s="45" t="s">
        <v>839</v>
      </c>
      <c r="C531" s="45" t="s">
        <v>840</v>
      </c>
      <c r="D531" s="45">
        <v>2</v>
      </c>
      <c r="E531" s="46">
        <v>0.25</v>
      </c>
      <c r="F531" s="45" t="s">
        <v>842</v>
      </c>
    </row>
    <row r="532" spans="1:6" hidden="1" outlineLevel="1" x14ac:dyDescent="0.25">
      <c r="A532" s="45">
        <v>6</v>
      </c>
      <c r="B532" s="45" t="s">
        <v>841</v>
      </c>
      <c r="C532" s="45" t="s">
        <v>355</v>
      </c>
      <c r="D532" s="45">
        <v>2</v>
      </c>
      <c r="E532" s="46">
        <v>0.25</v>
      </c>
      <c r="F532" s="45" t="s">
        <v>842</v>
      </c>
    </row>
    <row r="533" spans="1:6" hidden="1" outlineLevel="1" x14ac:dyDescent="0.25">
      <c r="A533" s="2">
        <v>7</v>
      </c>
      <c r="B533" s="2" t="s">
        <v>845</v>
      </c>
      <c r="C533" s="2" t="s">
        <v>846</v>
      </c>
      <c r="D533" s="2"/>
      <c r="E533" s="2"/>
      <c r="F533" s="2"/>
    </row>
    <row r="534" spans="1:6" hidden="1" outlineLevel="1" x14ac:dyDescent="0.25"/>
    <row r="535" spans="1:6" hidden="1" outlineLevel="1" x14ac:dyDescent="0.25"/>
    <row r="536" spans="1:6" hidden="1" outlineLevel="1" x14ac:dyDescent="0.25">
      <c r="B536" s="1" t="s">
        <v>843</v>
      </c>
      <c r="C536" s="177">
        <v>3</v>
      </c>
      <c r="D536" s="1" t="s">
        <v>847</v>
      </c>
      <c r="E536" s="1" t="s">
        <v>849</v>
      </c>
    </row>
    <row r="537" spans="1:6" hidden="1" outlineLevel="1" x14ac:dyDescent="0.25">
      <c r="B537" s="1" t="s">
        <v>844</v>
      </c>
      <c r="C537" s="177">
        <v>2</v>
      </c>
      <c r="D537" s="1" t="s">
        <v>848</v>
      </c>
      <c r="E537" s="1" t="s">
        <v>850</v>
      </c>
    </row>
    <row r="538" spans="1:6" ht="14.4" hidden="1" outlineLevel="1" thickBot="1" x14ac:dyDescent="0.3"/>
    <row r="539" spans="1:6" ht="14.4" hidden="1" outlineLevel="1" thickBot="1" x14ac:dyDescent="0.3">
      <c r="A539" s="328" t="s">
        <v>894</v>
      </c>
      <c r="B539" s="329"/>
      <c r="C539" s="329"/>
      <c r="D539" s="329"/>
      <c r="E539" s="329"/>
      <c r="F539" s="330"/>
    </row>
    <row r="540" spans="1:6" hidden="1" outlineLevel="1" x14ac:dyDescent="0.25">
      <c r="A540" s="9">
        <v>1</v>
      </c>
      <c r="B540" s="9" t="s">
        <v>853</v>
      </c>
      <c r="C540" s="9" t="s">
        <v>854</v>
      </c>
      <c r="D540" s="185">
        <v>1</v>
      </c>
      <c r="E540" s="40">
        <v>0.25</v>
      </c>
      <c r="F540" s="9" t="s">
        <v>855</v>
      </c>
    </row>
    <row r="541" spans="1:6" hidden="1" outlineLevel="1" x14ac:dyDescent="0.25">
      <c r="A541" s="2">
        <v>2</v>
      </c>
      <c r="B541" s="2" t="s">
        <v>857</v>
      </c>
      <c r="C541" s="2" t="s">
        <v>451</v>
      </c>
      <c r="D541" s="184">
        <v>1</v>
      </c>
      <c r="E541" s="37">
        <v>0.25</v>
      </c>
      <c r="F541" s="2" t="s">
        <v>856</v>
      </c>
    </row>
    <row r="542" spans="1:6" hidden="1" outlineLevel="1" x14ac:dyDescent="0.25">
      <c r="A542" s="2">
        <v>3</v>
      </c>
      <c r="B542" s="2" t="s">
        <v>858</v>
      </c>
      <c r="C542" s="2" t="s">
        <v>232</v>
      </c>
      <c r="D542" s="184">
        <v>4</v>
      </c>
      <c r="E542" s="37">
        <v>0.25</v>
      </c>
      <c r="F542" s="2"/>
    </row>
    <row r="543" spans="1:6" ht="27.6" hidden="1" outlineLevel="1" x14ac:dyDescent="0.25">
      <c r="A543" s="2">
        <v>4</v>
      </c>
      <c r="B543" s="2" t="s">
        <v>859</v>
      </c>
      <c r="C543" s="2" t="s">
        <v>860</v>
      </c>
      <c r="D543" s="7" t="s">
        <v>875</v>
      </c>
      <c r="E543" s="2"/>
      <c r="F543" s="2" t="s">
        <v>861</v>
      </c>
    </row>
    <row r="544" spans="1:6" hidden="1" outlineLevel="1" x14ac:dyDescent="0.25">
      <c r="A544" s="2">
        <v>5</v>
      </c>
      <c r="B544" s="2" t="s">
        <v>862</v>
      </c>
      <c r="C544" s="2" t="s">
        <v>863</v>
      </c>
      <c r="D544" s="186">
        <v>1</v>
      </c>
      <c r="E544" s="2"/>
      <c r="F544" s="2" t="s">
        <v>864</v>
      </c>
    </row>
    <row r="545" spans="1:6" hidden="1" outlineLevel="1" x14ac:dyDescent="0.25">
      <c r="A545" s="2">
        <v>6</v>
      </c>
      <c r="B545" s="2" t="s">
        <v>867</v>
      </c>
      <c r="C545" s="2" t="s">
        <v>865</v>
      </c>
      <c r="D545" s="2" t="s">
        <v>866</v>
      </c>
      <c r="E545" s="37">
        <v>0.25</v>
      </c>
      <c r="F545" s="2" t="s">
        <v>52</v>
      </c>
    </row>
    <row r="546" spans="1:6" hidden="1" outlineLevel="1" x14ac:dyDescent="0.25">
      <c r="A546" s="2">
        <v>7</v>
      </c>
      <c r="B546" s="2" t="s">
        <v>868</v>
      </c>
      <c r="C546" s="2" t="s">
        <v>752</v>
      </c>
      <c r="D546" s="184">
        <v>2</v>
      </c>
      <c r="E546" s="37">
        <v>0.25</v>
      </c>
      <c r="F546" s="2"/>
    </row>
    <row r="547" spans="1:6" ht="27.6" hidden="1" outlineLevel="1" x14ac:dyDescent="0.25">
      <c r="A547" s="2">
        <v>8</v>
      </c>
      <c r="B547" s="2" t="s">
        <v>869</v>
      </c>
      <c r="C547" s="2" t="s">
        <v>870</v>
      </c>
      <c r="D547" s="7" t="s">
        <v>874</v>
      </c>
      <c r="E547" s="37">
        <v>0.2</v>
      </c>
      <c r="F547" s="2" t="s">
        <v>871</v>
      </c>
    </row>
    <row r="548" spans="1:6" ht="41.4" hidden="1" outlineLevel="1" x14ac:dyDescent="0.25">
      <c r="A548" s="2">
        <v>9</v>
      </c>
      <c r="B548" s="2" t="s">
        <v>872</v>
      </c>
      <c r="C548" s="5" t="s">
        <v>884</v>
      </c>
      <c r="D548" s="7" t="s">
        <v>873</v>
      </c>
      <c r="E548" s="37">
        <v>0.2</v>
      </c>
      <c r="F548" s="2" t="s">
        <v>871</v>
      </c>
    </row>
    <row r="549" spans="1:6" hidden="1" outlineLevel="1" x14ac:dyDescent="0.25">
      <c r="A549" s="2">
        <v>10</v>
      </c>
      <c r="B549" s="2" t="s">
        <v>876</v>
      </c>
      <c r="C549" s="2" t="s">
        <v>877</v>
      </c>
      <c r="D549" s="2"/>
      <c r="E549" s="2"/>
      <c r="F549" s="2"/>
    </row>
    <row r="550" spans="1:6" hidden="1" outlineLevel="1" x14ac:dyDescent="0.25">
      <c r="A550" s="2">
        <v>11</v>
      </c>
      <c r="B550" s="2" t="s">
        <v>878</v>
      </c>
      <c r="C550" s="2" t="s">
        <v>879</v>
      </c>
      <c r="D550" s="2">
        <v>1</v>
      </c>
      <c r="E550" s="2"/>
      <c r="F550" s="2"/>
    </row>
    <row r="551" spans="1:6" hidden="1" outlineLevel="1" x14ac:dyDescent="0.25">
      <c r="A551" s="2">
        <v>12</v>
      </c>
      <c r="B551" s="2" t="s">
        <v>880</v>
      </c>
      <c r="C551" s="2" t="s">
        <v>417</v>
      </c>
      <c r="D551" s="2">
        <v>1</v>
      </c>
      <c r="E551" s="37">
        <v>0.2</v>
      </c>
      <c r="F551" s="2"/>
    </row>
    <row r="552" spans="1:6" ht="27.6" hidden="1" outlineLevel="1" x14ac:dyDescent="0.25">
      <c r="A552" s="2">
        <v>13</v>
      </c>
      <c r="B552" s="2" t="s">
        <v>881</v>
      </c>
      <c r="C552" s="5" t="s">
        <v>882</v>
      </c>
      <c r="D552" s="48" t="s">
        <v>179</v>
      </c>
      <c r="E552" s="37">
        <v>0.25</v>
      </c>
      <c r="F552" s="2"/>
    </row>
    <row r="553" spans="1:6" hidden="1" outlineLevel="1" x14ac:dyDescent="0.25">
      <c r="A553" s="2">
        <v>14</v>
      </c>
      <c r="B553" s="2" t="s">
        <v>883</v>
      </c>
      <c r="C553" s="2" t="s">
        <v>752</v>
      </c>
      <c r="D553" s="2">
        <v>2</v>
      </c>
      <c r="E553" s="37">
        <v>0.25</v>
      </c>
      <c r="F553" s="2" t="s">
        <v>899</v>
      </c>
    </row>
    <row r="554" spans="1:6" hidden="1" outlineLevel="1" x14ac:dyDescent="0.25">
      <c r="A554" s="2">
        <v>15</v>
      </c>
      <c r="B554" s="2" t="s">
        <v>885</v>
      </c>
      <c r="C554" s="2" t="s">
        <v>886</v>
      </c>
      <c r="D554" s="2">
        <v>3</v>
      </c>
      <c r="E554" s="37">
        <v>0.25</v>
      </c>
      <c r="F554" s="2" t="s">
        <v>887</v>
      </c>
    </row>
    <row r="555" spans="1:6" hidden="1" outlineLevel="1" x14ac:dyDescent="0.25">
      <c r="A555" s="2">
        <v>16</v>
      </c>
      <c r="B555" s="2" t="s">
        <v>888</v>
      </c>
      <c r="C555" s="2" t="s">
        <v>893</v>
      </c>
      <c r="D555" s="2" t="s">
        <v>656</v>
      </c>
      <c r="E555" s="2"/>
      <c r="F555" s="2"/>
    </row>
    <row r="556" spans="1:6" hidden="1" outlineLevel="1" x14ac:dyDescent="0.25">
      <c r="A556" s="2">
        <v>17</v>
      </c>
      <c r="B556" s="2" t="s">
        <v>895</v>
      </c>
      <c r="C556" s="2" t="s">
        <v>890</v>
      </c>
      <c r="D556" s="2" t="s">
        <v>900</v>
      </c>
      <c r="E556" s="37">
        <v>0.25</v>
      </c>
      <c r="F556" s="2" t="s">
        <v>79</v>
      </c>
    </row>
    <row r="557" spans="1:6" hidden="1" outlineLevel="1" x14ac:dyDescent="0.25">
      <c r="A557" s="2">
        <v>18</v>
      </c>
      <c r="B557" s="2" t="s">
        <v>896</v>
      </c>
      <c r="C557" s="2" t="s">
        <v>890</v>
      </c>
      <c r="D557" s="2" t="s">
        <v>901</v>
      </c>
      <c r="E557" s="37">
        <v>0.25</v>
      </c>
      <c r="F557" s="2" t="s">
        <v>79</v>
      </c>
    </row>
    <row r="558" spans="1:6" hidden="1" outlineLevel="1" x14ac:dyDescent="0.25">
      <c r="A558" s="2">
        <v>19</v>
      </c>
      <c r="B558" s="2" t="s">
        <v>889</v>
      </c>
      <c r="C558" s="2" t="s">
        <v>891</v>
      </c>
      <c r="D558" s="2">
        <v>1</v>
      </c>
      <c r="E558" s="2"/>
      <c r="F558" s="2"/>
    </row>
    <row r="559" spans="1:6" hidden="1" outlineLevel="1" x14ac:dyDescent="0.25">
      <c r="A559" s="2">
        <v>20</v>
      </c>
      <c r="B559" s="2" t="s">
        <v>758</v>
      </c>
      <c r="C559" s="2" t="s">
        <v>892</v>
      </c>
      <c r="D559" s="2">
        <v>3</v>
      </c>
      <c r="E559" s="37">
        <v>0.25</v>
      </c>
      <c r="F559" s="2" t="s">
        <v>79</v>
      </c>
    </row>
    <row r="560" spans="1:6" hidden="1" outlineLevel="1" x14ac:dyDescent="0.25">
      <c r="A560" s="2">
        <v>21</v>
      </c>
      <c r="B560" s="2" t="s">
        <v>897</v>
      </c>
      <c r="C560" s="2" t="s">
        <v>355</v>
      </c>
      <c r="D560" s="2">
        <v>1</v>
      </c>
      <c r="E560" s="37">
        <v>0.25</v>
      </c>
      <c r="F560" s="2" t="s">
        <v>898</v>
      </c>
    </row>
    <row r="561" spans="1:6" hidden="1" outlineLevel="1" x14ac:dyDescent="0.25"/>
    <row r="562" spans="1:6" ht="14.4" collapsed="1" thickBot="1" x14ac:dyDescent="0.3"/>
    <row r="563" spans="1:6" ht="14.4" outlineLevel="1" thickBot="1" x14ac:dyDescent="0.3">
      <c r="A563" s="328" t="s">
        <v>902</v>
      </c>
      <c r="B563" s="329"/>
      <c r="C563" s="329"/>
      <c r="D563" s="329"/>
      <c r="E563" s="329"/>
      <c r="F563" s="330"/>
    </row>
    <row r="564" spans="1:6" outlineLevel="1" x14ac:dyDescent="0.25">
      <c r="A564" s="9">
        <v>1</v>
      </c>
      <c r="B564" s="9" t="s">
        <v>55</v>
      </c>
      <c r="C564" s="9" t="s">
        <v>355</v>
      </c>
      <c r="D564" s="9">
        <v>2</v>
      </c>
      <c r="E564" s="40">
        <v>0.2</v>
      </c>
      <c r="F564" s="9" t="s">
        <v>52</v>
      </c>
    </row>
    <row r="565" spans="1:6" ht="27.6" outlineLevel="1" x14ac:dyDescent="0.25">
      <c r="A565" s="2">
        <v>2</v>
      </c>
      <c r="B565" s="2" t="s">
        <v>903</v>
      </c>
      <c r="C565" s="5" t="s">
        <v>908</v>
      </c>
      <c r="D565" s="48" t="s">
        <v>907</v>
      </c>
      <c r="E565" s="37">
        <v>0.25</v>
      </c>
      <c r="F565" s="5" t="s">
        <v>909</v>
      </c>
    </row>
    <row r="566" spans="1:6" outlineLevel="1" x14ac:dyDescent="0.25">
      <c r="A566" s="2">
        <v>3</v>
      </c>
      <c r="B566" s="2" t="s">
        <v>904</v>
      </c>
      <c r="C566" s="2" t="s">
        <v>905</v>
      </c>
      <c r="D566" s="2">
        <v>1</v>
      </c>
      <c r="E566" s="37">
        <v>0.25</v>
      </c>
      <c r="F566" s="2" t="s">
        <v>79</v>
      </c>
    </row>
    <row r="567" spans="1:6" outlineLevel="1" x14ac:dyDescent="0.25">
      <c r="A567" s="2">
        <v>4</v>
      </c>
      <c r="B567" s="2" t="s">
        <v>911</v>
      </c>
      <c r="C567" s="2" t="s">
        <v>910</v>
      </c>
      <c r="D567" s="2">
        <v>3</v>
      </c>
      <c r="E567" s="2"/>
      <c r="F567" s="2" t="s">
        <v>906</v>
      </c>
    </row>
    <row r="568" spans="1:6" ht="41.4" outlineLevel="1" x14ac:dyDescent="0.25">
      <c r="A568" s="2">
        <v>5</v>
      </c>
      <c r="B568" s="13" t="s">
        <v>912</v>
      </c>
      <c r="C568" s="5" t="s">
        <v>913</v>
      </c>
      <c r="D568" s="48" t="s">
        <v>914</v>
      </c>
      <c r="E568" s="2"/>
      <c r="F568" s="8" t="s">
        <v>906</v>
      </c>
    </row>
    <row r="569" spans="1:6" outlineLevel="1" x14ac:dyDescent="0.25">
      <c r="A569" s="2">
        <v>6</v>
      </c>
      <c r="B569" s="2" t="s">
        <v>916</v>
      </c>
      <c r="C569" s="2" t="s">
        <v>915</v>
      </c>
      <c r="D569" s="2">
        <v>4</v>
      </c>
      <c r="E569" s="2"/>
      <c r="F569" s="2" t="s">
        <v>906</v>
      </c>
    </row>
    <row r="570" spans="1:6" outlineLevel="1" x14ac:dyDescent="0.25">
      <c r="A570" s="2">
        <v>7</v>
      </c>
      <c r="B570" s="2" t="s">
        <v>917</v>
      </c>
      <c r="C570" s="2" t="s">
        <v>918</v>
      </c>
      <c r="D570" s="2">
        <v>3</v>
      </c>
      <c r="E570" s="2"/>
      <c r="F570" s="2"/>
    </row>
    <row r="571" spans="1:6" outlineLevel="1" x14ac:dyDescent="0.25">
      <c r="A571" s="2">
        <v>8</v>
      </c>
      <c r="B571" s="2" t="s">
        <v>919</v>
      </c>
      <c r="C571" s="2" t="s">
        <v>920</v>
      </c>
      <c r="D571" s="2">
        <v>1</v>
      </c>
      <c r="E571" s="37">
        <v>0.25</v>
      </c>
      <c r="F571" s="2" t="s">
        <v>921</v>
      </c>
    </row>
    <row r="572" spans="1:6" outlineLevel="1" x14ac:dyDescent="0.25"/>
    <row r="573" spans="1:6" ht="14.4" outlineLevel="1" thickBot="1" x14ac:dyDescent="0.3"/>
    <row r="574" spans="1:6" ht="14.4" outlineLevel="1" thickBot="1" x14ac:dyDescent="0.3">
      <c r="A574" s="328" t="s">
        <v>942</v>
      </c>
      <c r="B574" s="329"/>
      <c r="C574" s="329"/>
      <c r="D574" s="329"/>
      <c r="E574" s="329"/>
      <c r="F574" s="330"/>
    </row>
    <row r="575" spans="1:6" outlineLevel="1" x14ac:dyDescent="0.25">
      <c r="A575" s="9">
        <v>1</v>
      </c>
      <c r="B575" s="9" t="s">
        <v>922</v>
      </c>
      <c r="C575" s="9" t="s">
        <v>923</v>
      </c>
      <c r="D575" s="9">
        <v>3</v>
      </c>
      <c r="E575" s="40">
        <v>0.2</v>
      </c>
      <c r="F575" s="9" t="s">
        <v>924</v>
      </c>
    </row>
    <row r="576" spans="1:6" outlineLevel="1" x14ac:dyDescent="0.25">
      <c r="A576" s="2">
        <v>2</v>
      </c>
      <c r="B576" s="2" t="s">
        <v>489</v>
      </c>
      <c r="C576" s="2" t="s">
        <v>925</v>
      </c>
      <c r="D576" s="2"/>
      <c r="E576" s="2"/>
      <c r="F576" s="2"/>
    </row>
    <row r="577" spans="1:6" outlineLevel="1" x14ac:dyDescent="0.25">
      <c r="A577" s="2">
        <v>3</v>
      </c>
      <c r="B577" s="2" t="s">
        <v>771</v>
      </c>
      <c r="C577" s="2" t="s">
        <v>355</v>
      </c>
      <c r="D577" s="2">
        <v>1</v>
      </c>
      <c r="E577" s="37">
        <v>0.2</v>
      </c>
      <c r="F577" s="2" t="s">
        <v>926</v>
      </c>
    </row>
    <row r="578" spans="1:6" outlineLevel="1" x14ac:dyDescent="0.25">
      <c r="A578" s="2">
        <v>4</v>
      </c>
      <c r="B578" s="2" t="s">
        <v>927</v>
      </c>
      <c r="C578" s="2" t="s">
        <v>928</v>
      </c>
      <c r="D578" s="2">
        <v>2</v>
      </c>
      <c r="E578" s="2"/>
      <c r="F578" s="2"/>
    </row>
    <row r="579" spans="1:6" outlineLevel="1" x14ac:dyDescent="0.25">
      <c r="A579" s="2">
        <v>5</v>
      </c>
      <c r="B579" s="2" t="s">
        <v>929</v>
      </c>
      <c r="C579" s="2" t="s">
        <v>930</v>
      </c>
      <c r="D579" s="2"/>
      <c r="E579" s="2"/>
      <c r="F579" s="2" t="s">
        <v>79</v>
      </c>
    </row>
    <row r="580" spans="1:6" outlineLevel="1" x14ac:dyDescent="0.25">
      <c r="A580" s="2">
        <v>6</v>
      </c>
      <c r="B580" s="2" t="s">
        <v>931</v>
      </c>
      <c r="C580" s="2" t="s">
        <v>426</v>
      </c>
      <c r="D580" s="2">
        <v>1</v>
      </c>
      <c r="E580" s="2"/>
      <c r="F580" s="2" t="s">
        <v>932</v>
      </c>
    </row>
    <row r="581" spans="1:6" outlineLevel="1" x14ac:dyDescent="0.25">
      <c r="A581" s="2">
        <v>7</v>
      </c>
      <c r="B581" s="2" t="s">
        <v>933</v>
      </c>
      <c r="C581" s="2" t="s">
        <v>660</v>
      </c>
      <c r="D581" s="2"/>
      <c r="E581" s="2"/>
      <c r="F581" s="2"/>
    </row>
    <row r="582" spans="1:6" outlineLevel="1" x14ac:dyDescent="0.25">
      <c r="A582" s="2">
        <v>8</v>
      </c>
      <c r="B582" s="2" t="s">
        <v>934</v>
      </c>
      <c r="C582" s="2" t="s">
        <v>935</v>
      </c>
      <c r="D582" s="2">
        <v>2</v>
      </c>
      <c r="E582" s="37">
        <v>0.2</v>
      </c>
      <c r="F582" s="2" t="s">
        <v>861</v>
      </c>
    </row>
    <row r="583" spans="1:6" outlineLevel="1" x14ac:dyDescent="0.25">
      <c r="A583" s="2">
        <v>9</v>
      </c>
      <c r="B583" s="2" t="s">
        <v>771</v>
      </c>
      <c r="C583" s="2" t="s">
        <v>936</v>
      </c>
      <c r="D583" s="2">
        <v>3</v>
      </c>
      <c r="E583" s="37">
        <v>0.2</v>
      </c>
      <c r="F583" s="2" t="s">
        <v>861</v>
      </c>
    </row>
    <row r="584" spans="1:6" outlineLevel="1" x14ac:dyDescent="0.25">
      <c r="A584" s="2">
        <v>10</v>
      </c>
      <c r="B584" s="2" t="s">
        <v>937</v>
      </c>
      <c r="C584" s="2"/>
      <c r="D584" s="2"/>
      <c r="E584" s="2"/>
      <c r="F584" s="2"/>
    </row>
    <row r="585" spans="1:6" outlineLevel="1" x14ac:dyDescent="0.25">
      <c r="A585" s="2">
        <v>11</v>
      </c>
      <c r="B585" s="2" t="s">
        <v>938</v>
      </c>
      <c r="C585" s="2" t="s">
        <v>467</v>
      </c>
      <c r="D585" s="2">
        <v>3</v>
      </c>
      <c r="E585" s="37">
        <v>0.2</v>
      </c>
      <c r="F585" s="2" t="s">
        <v>861</v>
      </c>
    </row>
    <row r="586" spans="1:6" outlineLevel="1" x14ac:dyDescent="0.25">
      <c r="A586" s="2">
        <v>12</v>
      </c>
      <c r="B586" s="2" t="s">
        <v>939</v>
      </c>
      <c r="C586" s="2" t="s">
        <v>940</v>
      </c>
      <c r="D586" s="2">
        <v>2</v>
      </c>
      <c r="E586" s="37">
        <v>0.2</v>
      </c>
      <c r="F586" s="2" t="s">
        <v>861</v>
      </c>
    </row>
    <row r="587" spans="1:6" ht="14.4" outlineLevel="1" thickBot="1" x14ac:dyDescent="0.3"/>
    <row r="588" spans="1:6" ht="14.4" outlineLevel="1" thickBot="1" x14ac:dyDescent="0.3">
      <c r="A588" s="328" t="s">
        <v>941</v>
      </c>
      <c r="B588" s="329"/>
      <c r="C588" s="329"/>
      <c r="D588" s="329"/>
      <c r="E588" s="329"/>
      <c r="F588" s="330"/>
    </row>
    <row r="589" spans="1:6" ht="40.950000000000003" customHeight="1" outlineLevel="1" x14ac:dyDescent="0.25">
      <c r="A589" s="9">
        <v>1</v>
      </c>
      <c r="B589" s="33" t="s">
        <v>960</v>
      </c>
      <c r="C589" s="33" t="s">
        <v>944</v>
      </c>
      <c r="D589" s="190" t="s">
        <v>943</v>
      </c>
      <c r="E589" s="40">
        <v>0.2</v>
      </c>
      <c r="F589" s="9" t="s">
        <v>947</v>
      </c>
    </row>
    <row r="590" spans="1:6" outlineLevel="1" x14ac:dyDescent="0.25">
      <c r="A590" s="2">
        <v>2</v>
      </c>
      <c r="B590" s="2" t="s">
        <v>945</v>
      </c>
      <c r="C590" s="5" t="s">
        <v>95</v>
      </c>
      <c r="D590" s="187" t="s">
        <v>943</v>
      </c>
      <c r="E590" s="37">
        <v>0.2</v>
      </c>
      <c r="F590" s="2" t="s">
        <v>946</v>
      </c>
    </row>
    <row r="591" spans="1:6" ht="27.6" outlineLevel="1" x14ac:dyDescent="0.25">
      <c r="A591" s="2">
        <v>3</v>
      </c>
      <c r="B591" s="2" t="s">
        <v>948</v>
      </c>
      <c r="C591" s="5" t="s">
        <v>950</v>
      </c>
      <c r="D591" s="7" t="s">
        <v>949</v>
      </c>
      <c r="E591" s="37">
        <v>0.2</v>
      </c>
      <c r="F591" s="2" t="s">
        <v>951</v>
      </c>
    </row>
    <row r="592" spans="1:6" ht="24" outlineLevel="1" x14ac:dyDescent="0.25">
      <c r="A592" s="2">
        <v>4</v>
      </c>
      <c r="B592" s="188" t="s">
        <v>952</v>
      </c>
      <c r="C592" s="2" t="s">
        <v>739</v>
      </c>
      <c r="D592" s="187">
        <v>1</v>
      </c>
      <c r="E592" s="37">
        <v>0.2</v>
      </c>
      <c r="F592" s="2" t="s">
        <v>79</v>
      </c>
    </row>
    <row r="593" spans="1:6" outlineLevel="1" x14ac:dyDescent="0.25">
      <c r="A593" s="2">
        <v>5</v>
      </c>
      <c r="B593" s="2" t="s">
        <v>953</v>
      </c>
      <c r="C593" s="2" t="s">
        <v>954</v>
      </c>
      <c r="D593" s="187">
        <v>1</v>
      </c>
      <c r="E593" s="2"/>
      <c r="F593" s="2"/>
    </row>
    <row r="594" spans="1:6" ht="27.6" outlineLevel="1" x14ac:dyDescent="0.25">
      <c r="A594" s="2">
        <v>6</v>
      </c>
      <c r="B594" s="2" t="s">
        <v>955</v>
      </c>
      <c r="C594" s="5" t="s">
        <v>956</v>
      </c>
      <c r="D594" s="7" t="s">
        <v>320</v>
      </c>
      <c r="E594" s="37">
        <v>0.2</v>
      </c>
      <c r="F594" s="2"/>
    </row>
    <row r="595" spans="1:6" outlineLevel="1" x14ac:dyDescent="0.25">
      <c r="A595" s="2">
        <v>7</v>
      </c>
      <c r="B595" s="2" t="s">
        <v>957</v>
      </c>
      <c r="C595" s="2" t="s">
        <v>958</v>
      </c>
      <c r="D595" s="187">
        <v>3</v>
      </c>
      <c r="E595" s="160" t="s">
        <v>959</v>
      </c>
      <c r="F595" s="2"/>
    </row>
    <row r="596" spans="1:6" ht="55.2" outlineLevel="1" x14ac:dyDescent="0.25">
      <c r="A596" s="2">
        <v>8</v>
      </c>
      <c r="B596" s="8" t="s">
        <v>722</v>
      </c>
      <c r="C596" s="5" t="s">
        <v>964</v>
      </c>
      <c r="D596" s="7" t="s">
        <v>965</v>
      </c>
      <c r="E596" s="7" t="s">
        <v>966</v>
      </c>
      <c r="F596" s="2" t="s">
        <v>79</v>
      </c>
    </row>
    <row r="597" spans="1:6" ht="55.2" outlineLevel="1" x14ac:dyDescent="0.25">
      <c r="A597" s="2">
        <v>9</v>
      </c>
      <c r="B597" s="19" t="s">
        <v>962</v>
      </c>
      <c r="C597" s="5" t="s">
        <v>964</v>
      </c>
      <c r="D597" s="7" t="s">
        <v>965</v>
      </c>
      <c r="E597" s="7" t="s">
        <v>966</v>
      </c>
      <c r="F597" s="2" t="s">
        <v>79</v>
      </c>
    </row>
    <row r="598" spans="1:6" ht="55.2" outlineLevel="1" x14ac:dyDescent="0.25">
      <c r="A598" s="28">
        <v>10</v>
      </c>
      <c r="B598" s="19" t="s">
        <v>970</v>
      </c>
      <c r="C598" s="5" t="s">
        <v>964</v>
      </c>
      <c r="D598" s="7" t="s">
        <v>965</v>
      </c>
      <c r="E598" s="7" t="s">
        <v>966</v>
      </c>
      <c r="F598" s="2" t="s">
        <v>79</v>
      </c>
    </row>
    <row r="599" spans="1:6" ht="55.2" outlineLevel="1" x14ac:dyDescent="0.25">
      <c r="A599" s="28">
        <v>11</v>
      </c>
      <c r="B599" s="191" t="s">
        <v>971</v>
      </c>
      <c r="C599" s="55" t="s">
        <v>974</v>
      </c>
      <c r="D599" s="56" t="s">
        <v>972</v>
      </c>
      <c r="E599" s="192">
        <v>0.2</v>
      </c>
      <c r="F599" s="55" t="s">
        <v>973</v>
      </c>
    </row>
    <row r="600" spans="1:6" outlineLevel="1" x14ac:dyDescent="0.25">
      <c r="A600" s="2">
        <v>12</v>
      </c>
      <c r="B600" s="19" t="s">
        <v>975</v>
      </c>
      <c r="C600" s="5"/>
      <c r="D600" s="7"/>
      <c r="E600" s="189"/>
      <c r="F600" s="5" t="s">
        <v>985</v>
      </c>
    </row>
    <row r="601" spans="1:6" ht="41.4" outlineLevel="1" x14ac:dyDescent="0.25">
      <c r="A601" s="2">
        <v>13</v>
      </c>
      <c r="B601" s="19" t="s">
        <v>978</v>
      </c>
      <c r="C601" s="5" t="s">
        <v>976</v>
      </c>
      <c r="D601" s="7">
        <v>3</v>
      </c>
      <c r="E601" s="189">
        <v>0.2</v>
      </c>
      <c r="F601" s="5" t="s">
        <v>977</v>
      </c>
    </row>
    <row r="602" spans="1:6" outlineLevel="1" x14ac:dyDescent="0.25">
      <c r="A602" s="2">
        <v>14</v>
      </c>
      <c r="B602" s="193" t="s">
        <v>979</v>
      </c>
      <c r="C602" s="33" t="s">
        <v>449</v>
      </c>
      <c r="D602" s="26">
        <v>3</v>
      </c>
      <c r="E602" s="194">
        <v>0.2</v>
      </c>
      <c r="F602" s="33" t="s">
        <v>980</v>
      </c>
    </row>
    <row r="603" spans="1:6" outlineLevel="1" x14ac:dyDescent="0.25">
      <c r="A603" s="2">
        <v>15</v>
      </c>
      <c r="B603" s="193" t="s">
        <v>981</v>
      </c>
      <c r="C603" s="33" t="s">
        <v>976</v>
      </c>
      <c r="D603" s="26">
        <v>3</v>
      </c>
      <c r="E603" s="194">
        <v>0.2</v>
      </c>
      <c r="F603" s="33" t="s">
        <v>982</v>
      </c>
    </row>
    <row r="604" spans="1:6" outlineLevel="1" x14ac:dyDescent="0.25">
      <c r="A604" s="2">
        <v>16</v>
      </c>
      <c r="B604" s="193" t="s">
        <v>987</v>
      </c>
      <c r="C604" s="33" t="s">
        <v>988</v>
      </c>
      <c r="D604" s="26">
        <v>1</v>
      </c>
      <c r="E604" s="194">
        <v>0.2</v>
      </c>
      <c r="F604" s="33" t="s">
        <v>989</v>
      </c>
    </row>
    <row r="605" spans="1:6" outlineLevel="1" x14ac:dyDescent="0.25">
      <c r="A605" s="2">
        <v>17</v>
      </c>
      <c r="B605" s="193" t="s">
        <v>812</v>
      </c>
      <c r="C605" s="33" t="s">
        <v>232</v>
      </c>
      <c r="D605" s="26">
        <v>2</v>
      </c>
      <c r="E605" s="194">
        <v>0.2</v>
      </c>
      <c r="F605" s="33"/>
    </row>
    <row r="606" spans="1:6" ht="27.6" outlineLevel="1" x14ac:dyDescent="0.25">
      <c r="A606" s="2"/>
      <c r="B606" s="193" t="s">
        <v>812</v>
      </c>
      <c r="C606" s="33" t="s">
        <v>990</v>
      </c>
      <c r="D606" s="26" t="s">
        <v>991</v>
      </c>
      <c r="E606" s="194">
        <v>0.2</v>
      </c>
      <c r="F606" s="33" t="s">
        <v>992</v>
      </c>
    </row>
    <row r="607" spans="1:6" ht="63.6" customHeight="1" outlineLevel="1" x14ac:dyDescent="0.25">
      <c r="A607" s="2"/>
      <c r="B607" s="51" t="s">
        <v>961</v>
      </c>
      <c r="C607" s="396" t="s">
        <v>984</v>
      </c>
      <c r="D607" s="396"/>
      <c r="E607" s="396"/>
      <c r="F607" s="396"/>
    </row>
    <row r="608" spans="1:6" outlineLevel="1" x14ac:dyDescent="0.25">
      <c r="A608" s="2"/>
      <c r="B608" s="8" t="s">
        <v>963</v>
      </c>
      <c r="C608" s="345" t="s">
        <v>983</v>
      </c>
      <c r="D608" s="345"/>
      <c r="E608" s="345"/>
      <c r="F608" s="345"/>
    </row>
    <row r="609" spans="1:6" ht="30.6" customHeight="1" outlineLevel="1" x14ac:dyDescent="0.25">
      <c r="A609" s="2"/>
      <c r="B609" s="8" t="s">
        <v>967</v>
      </c>
      <c r="C609" s="356" t="s">
        <v>969</v>
      </c>
      <c r="D609" s="356"/>
      <c r="E609" s="356"/>
      <c r="F609" s="356"/>
    </row>
    <row r="610" spans="1:6" outlineLevel="1" x14ac:dyDescent="0.25">
      <c r="A610" s="2"/>
      <c r="B610" s="8" t="s">
        <v>968</v>
      </c>
      <c r="C610" s="343"/>
      <c r="D610" s="343"/>
      <c r="E610" s="343"/>
      <c r="F610" s="343"/>
    </row>
    <row r="611" spans="1:6" outlineLevel="1" x14ac:dyDescent="0.25">
      <c r="A611" s="2"/>
      <c r="B611" s="2" t="s">
        <v>986</v>
      </c>
      <c r="C611" s="343"/>
      <c r="D611" s="343"/>
      <c r="E611" s="343"/>
      <c r="F611" s="343"/>
    </row>
    <row r="612" spans="1:6" ht="14.4" outlineLevel="1" thickBot="1" x14ac:dyDescent="0.3"/>
    <row r="613" spans="1:6" ht="14.4" outlineLevel="1" thickBot="1" x14ac:dyDescent="0.3">
      <c r="A613" s="328" t="s">
        <v>1000</v>
      </c>
      <c r="B613" s="329"/>
      <c r="C613" s="329"/>
      <c r="D613" s="329"/>
      <c r="E613" s="329"/>
      <c r="F613" s="330"/>
    </row>
    <row r="614" spans="1:6" outlineLevel="1" x14ac:dyDescent="0.25">
      <c r="A614" s="9">
        <v>1</v>
      </c>
      <c r="B614" s="9" t="s">
        <v>993</v>
      </c>
      <c r="C614" s="9" t="s">
        <v>426</v>
      </c>
      <c r="D614" s="9">
        <v>1</v>
      </c>
      <c r="E614" s="40">
        <v>0.2</v>
      </c>
      <c r="F614" s="9"/>
    </row>
    <row r="615" spans="1:6" outlineLevel="1" x14ac:dyDescent="0.25">
      <c r="A615" s="2">
        <v>2</v>
      </c>
      <c r="B615" s="2" t="s">
        <v>994</v>
      </c>
      <c r="C615" s="2" t="s">
        <v>426</v>
      </c>
      <c r="D615" s="2">
        <v>1</v>
      </c>
      <c r="E615" s="37">
        <v>0.2</v>
      </c>
      <c r="F615" s="2"/>
    </row>
    <row r="616" spans="1:6" outlineLevel="1" x14ac:dyDescent="0.25">
      <c r="A616" s="2">
        <v>3</v>
      </c>
      <c r="B616" s="2" t="s">
        <v>995</v>
      </c>
      <c r="C616" s="2" t="s">
        <v>426</v>
      </c>
      <c r="D616" s="2">
        <v>1</v>
      </c>
      <c r="E616" s="37">
        <v>0.2</v>
      </c>
      <c r="F616" s="2"/>
    </row>
    <row r="617" spans="1:6" outlineLevel="1" x14ac:dyDescent="0.25">
      <c r="A617" s="2">
        <v>4</v>
      </c>
      <c r="B617" s="2" t="s">
        <v>996</v>
      </c>
      <c r="C617" s="2" t="s">
        <v>426</v>
      </c>
      <c r="D617" s="2">
        <v>1</v>
      </c>
      <c r="E617" s="37">
        <v>0.2</v>
      </c>
      <c r="F617" s="2"/>
    </row>
    <row r="618" spans="1:6" outlineLevel="1" x14ac:dyDescent="0.25">
      <c r="A618" s="2">
        <v>5</v>
      </c>
      <c r="B618" s="2" t="s">
        <v>997</v>
      </c>
      <c r="C618" s="2" t="s">
        <v>998</v>
      </c>
      <c r="D618" s="2">
        <v>1</v>
      </c>
      <c r="E618" s="116">
        <v>925000</v>
      </c>
      <c r="F618" s="2" t="s">
        <v>999</v>
      </c>
    </row>
    <row r="619" spans="1:6" outlineLevel="1" x14ac:dyDescent="0.25">
      <c r="A619" s="2">
        <v>6</v>
      </c>
      <c r="B619" s="2" t="s">
        <v>112</v>
      </c>
      <c r="C619" s="2" t="s">
        <v>386</v>
      </c>
      <c r="D619" s="2">
        <v>3</v>
      </c>
      <c r="E619" s="37">
        <v>0.2</v>
      </c>
      <c r="F619" s="2"/>
    </row>
    <row r="620" spans="1:6" outlineLevel="1" x14ac:dyDescent="0.25">
      <c r="A620" s="2">
        <v>7</v>
      </c>
      <c r="B620" s="2" t="s">
        <v>104</v>
      </c>
      <c r="C620" s="2" t="s">
        <v>1001</v>
      </c>
      <c r="D620" s="2">
        <v>2</v>
      </c>
      <c r="E620" s="2" t="s">
        <v>1002</v>
      </c>
      <c r="F620" s="2"/>
    </row>
    <row r="621" spans="1:6" outlineLevel="1" x14ac:dyDescent="0.25">
      <c r="A621" s="2">
        <v>8</v>
      </c>
      <c r="B621" s="2" t="s">
        <v>994</v>
      </c>
      <c r="C621" s="2" t="s">
        <v>1003</v>
      </c>
      <c r="D621" s="2">
        <v>4</v>
      </c>
      <c r="E621" s="37">
        <v>0.2</v>
      </c>
      <c r="F621" s="2" t="s">
        <v>1004</v>
      </c>
    </row>
    <row r="622" spans="1:6" outlineLevel="1" x14ac:dyDescent="0.25">
      <c r="A622" s="2">
        <v>9</v>
      </c>
      <c r="B622" s="2" t="s">
        <v>1005</v>
      </c>
      <c r="C622" s="2" t="s">
        <v>1006</v>
      </c>
      <c r="D622" s="2">
        <v>2</v>
      </c>
      <c r="E622" s="37">
        <v>0.2</v>
      </c>
      <c r="F622" s="2"/>
    </row>
    <row r="623" spans="1:6" outlineLevel="1" x14ac:dyDescent="0.25">
      <c r="A623" s="2">
        <v>10</v>
      </c>
      <c r="B623" s="2" t="s">
        <v>1007</v>
      </c>
      <c r="C623" s="2" t="s">
        <v>1008</v>
      </c>
      <c r="D623" s="195">
        <v>1</v>
      </c>
      <c r="E623" s="37">
        <v>0.2</v>
      </c>
      <c r="F623" s="2" t="s">
        <v>1009</v>
      </c>
    </row>
    <row r="624" spans="1:6" outlineLevel="1" x14ac:dyDescent="0.25"/>
    <row r="625" spans="1:6" ht="14.4" outlineLevel="1" thickBot="1" x14ac:dyDescent="0.3"/>
    <row r="626" spans="1:6" ht="14.4" outlineLevel="1" thickBot="1" x14ac:dyDescent="0.3">
      <c r="A626" s="368" t="s">
        <v>1017</v>
      </c>
      <c r="B626" s="323"/>
      <c r="C626" s="323"/>
      <c r="D626" s="323"/>
      <c r="E626" s="323"/>
      <c r="F626" s="324"/>
    </row>
    <row r="627" spans="1:6" outlineLevel="1" x14ac:dyDescent="0.25">
      <c r="A627" s="9">
        <v>1</v>
      </c>
      <c r="B627" s="9" t="s">
        <v>444</v>
      </c>
      <c r="C627" s="9" t="s">
        <v>1018</v>
      </c>
      <c r="D627" s="213" t="s">
        <v>1019</v>
      </c>
      <c r="E627" s="40">
        <v>0.2</v>
      </c>
      <c r="F627" s="9"/>
    </row>
    <row r="628" spans="1:6" outlineLevel="1" x14ac:dyDescent="0.25">
      <c r="A628" s="2">
        <v>2</v>
      </c>
      <c r="B628" s="2" t="s">
        <v>406</v>
      </c>
      <c r="C628" s="2" t="s">
        <v>1020</v>
      </c>
      <c r="D628" s="2">
        <v>2</v>
      </c>
      <c r="E628" s="37">
        <v>0.2</v>
      </c>
      <c r="F628" s="2"/>
    </row>
    <row r="629" spans="1:6" outlineLevel="1" x14ac:dyDescent="0.25">
      <c r="A629" s="2">
        <v>3</v>
      </c>
      <c r="B629" s="2" t="s">
        <v>1021</v>
      </c>
      <c r="C629" s="2" t="s">
        <v>426</v>
      </c>
      <c r="D629" s="2">
        <v>1</v>
      </c>
      <c r="E629" s="37">
        <v>0.2</v>
      </c>
      <c r="F629" s="2"/>
    </row>
    <row r="630" spans="1:6" outlineLevel="1" x14ac:dyDescent="0.25">
      <c r="A630" s="2">
        <v>4</v>
      </c>
      <c r="B630" s="2" t="s">
        <v>1022</v>
      </c>
      <c r="C630" s="2" t="s">
        <v>230</v>
      </c>
      <c r="D630" s="2">
        <v>2</v>
      </c>
      <c r="E630" s="37">
        <v>0.2</v>
      </c>
      <c r="F630" s="2"/>
    </row>
    <row r="631" spans="1:6" outlineLevel="1" x14ac:dyDescent="0.25">
      <c r="A631" s="2">
        <v>5</v>
      </c>
      <c r="B631" s="2" t="s">
        <v>1023</v>
      </c>
      <c r="C631" s="2" t="s">
        <v>355</v>
      </c>
      <c r="D631" s="2">
        <v>2</v>
      </c>
      <c r="E631" s="37">
        <v>0.2</v>
      </c>
      <c r="F631" s="2" t="s">
        <v>1024</v>
      </c>
    </row>
    <row r="632" spans="1:6" outlineLevel="1" x14ac:dyDescent="0.25">
      <c r="A632" s="2">
        <v>6</v>
      </c>
      <c r="B632" s="2" t="s">
        <v>1025</v>
      </c>
      <c r="C632" s="2" t="s">
        <v>1026</v>
      </c>
      <c r="D632" s="2" t="s">
        <v>1027</v>
      </c>
      <c r="E632" s="37">
        <v>0.2</v>
      </c>
      <c r="F632" s="2" t="s">
        <v>1028</v>
      </c>
    </row>
    <row r="633" spans="1:6" outlineLevel="1" x14ac:dyDescent="0.25">
      <c r="A633" s="2">
        <v>7</v>
      </c>
      <c r="B633" s="2" t="s">
        <v>1030</v>
      </c>
      <c r="C633" s="2" t="s">
        <v>1029</v>
      </c>
      <c r="D633" s="2"/>
      <c r="E633" s="2"/>
      <c r="F633" s="2"/>
    </row>
    <row r="634" spans="1:6" outlineLevel="1" x14ac:dyDescent="0.25"/>
    <row r="635" spans="1:6" ht="14.4" outlineLevel="1" thickBot="1" x14ac:dyDescent="0.3"/>
    <row r="636" spans="1:6" ht="14.4" outlineLevel="1" thickBot="1" x14ac:dyDescent="0.3">
      <c r="A636" s="368" t="s">
        <v>1055</v>
      </c>
      <c r="B636" s="323"/>
      <c r="C636" s="323"/>
      <c r="D636" s="323"/>
      <c r="E636" s="323"/>
      <c r="F636" s="324"/>
    </row>
    <row r="637" spans="1:6" outlineLevel="1" x14ac:dyDescent="0.25">
      <c r="A637" s="2">
        <v>1</v>
      </c>
      <c r="B637" s="2" t="s">
        <v>1031</v>
      </c>
      <c r="C637" s="2" t="s">
        <v>1032</v>
      </c>
      <c r="D637" s="2">
        <v>3</v>
      </c>
      <c r="E637" s="37">
        <v>0.2</v>
      </c>
      <c r="F637" s="2" t="s">
        <v>1033</v>
      </c>
    </row>
    <row r="638" spans="1:6" outlineLevel="1" x14ac:dyDescent="0.25">
      <c r="A638" s="2">
        <v>2</v>
      </c>
      <c r="B638" s="2" t="s">
        <v>1031</v>
      </c>
      <c r="C638" s="2" t="s">
        <v>491</v>
      </c>
      <c r="D638" s="2">
        <v>5</v>
      </c>
      <c r="E638" s="37">
        <v>0.2</v>
      </c>
      <c r="F638" s="2" t="s">
        <v>1034</v>
      </c>
    </row>
    <row r="639" spans="1:6" outlineLevel="1" x14ac:dyDescent="0.25">
      <c r="A639" s="2">
        <v>3</v>
      </c>
      <c r="B639" s="2" t="s">
        <v>1035</v>
      </c>
      <c r="C639" s="2" t="s">
        <v>650</v>
      </c>
      <c r="D639" s="2">
        <v>1</v>
      </c>
      <c r="E639" s="37">
        <v>0.2</v>
      </c>
      <c r="F639" s="2" t="s">
        <v>1036</v>
      </c>
    </row>
    <row r="640" spans="1:6" outlineLevel="1" x14ac:dyDescent="0.25">
      <c r="A640" s="2">
        <v>4</v>
      </c>
      <c r="B640" s="2" t="s">
        <v>1037</v>
      </c>
      <c r="C640" s="2" t="s">
        <v>1038</v>
      </c>
      <c r="D640" s="2">
        <v>1</v>
      </c>
      <c r="E640" s="37"/>
      <c r="F640" s="2"/>
    </row>
    <row r="641" spans="1:6" outlineLevel="1" x14ac:dyDescent="0.25">
      <c r="A641" s="2">
        <v>5</v>
      </c>
      <c r="B641" s="2" t="s">
        <v>406</v>
      </c>
      <c r="C641" s="2" t="s">
        <v>1039</v>
      </c>
      <c r="D641" s="2">
        <v>2</v>
      </c>
      <c r="E641" s="2"/>
      <c r="F641" s="2"/>
    </row>
    <row r="642" spans="1:6" outlineLevel="1" x14ac:dyDescent="0.25">
      <c r="A642" s="2">
        <v>6</v>
      </c>
      <c r="B642" s="2" t="s">
        <v>1040</v>
      </c>
      <c r="C642" s="2" t="s">
        <v>1041</v>
      </c>
      <c r="D642" s="2">
        <v>2</v>
      </c>
      <c r="E642" s="2"/>
      <c r="F642" s="2"/>
    </row>
    <row r="643" spans="1:6" outlineLevel="1" x14ac:dyDescent="0.25">
      <c r="A643" s="2">
        <v>7</v>
      </c>
      <c r="B643" s="2" t="s">
        <v>1042</v>
      </c>
      <c r="C643" s="2" t="s">
        <v>1043</v>
      </c>
      <c r="D643" s="2">
        <v>1</v>
      </c>
      <c r="E643" s="2"/>
      <c r="F643" s="2"/>
    </row>
    <row r="644" spans="1:6" outlineLevel="1" x14ac:dyDescent="0.25">
      <c r="A644" s="2">
        <v>8</v>
      </c>
      <c r="B644" s="2" t="s">
        <v>474</v>
      </c>
      <c r="C644" s="2" t="s">
        <v>1052</v>
      </c>
      <c r="D644" s="2">
        <v>1</v>
      </c>
      <c r="E644" s="2"/>
      <c r="F644" s="2"/>
    </row>
    <row r="645" spans="1:6" outlineLevel="1" x14ac:dyDescent="0.25">
      <c r="A645" s="2">
        <v>9</v>
      </c>
      <c r="B645" s="2" t="s">
        <v>474</v>
      </c>
      <c r="C645" s="2" t="s">
        <v>1053</v>
      </c>
      <c r="D645" s="160" t="s">
        <v>1054</v>
      </c>
      <c r="E645" s="2"/>
      <c r="F645" s="2"/>
    </row>
    <row r="646" spans="1:6" outlineLevel="1" x14ac:dyDescent="0.25">
      <c r="A646" s="2">
        <v>10</v>
      </c>
      <c r="B646" s="2" t="s">
        <v>1044</v>
      </c>
      <c r="C646" s="2" t="s">
        <v>1046</v>
      </c>
      <c r="D646" s="160" t="s">
        <v>1047</v>
      </c>
      <c r="E646" s="37">
        <v>0.2</v>
      </c>
      <c r="F646" s="2" t="s">
        <v>1048</v>
      </c>
    </row>
    <row r="647" spans="1:6" outlineLevel="1" x14ac:dyDescent="0.25">
      <c r="A647" s="2">
        <v>11</v>
      </c>
      <c r="B647" s="2" t="s">
        <v>1045</v>
      </c>
      <c r="C647" s="2" t="s">
        <v>357</v>
      </c>
      <c r="D647" s="160" t="s">
        <v>943</v>
      </c>
      <c r="E647" s="37">
        <v>0.2</v>
      </c>
      <c r="F647" s="2" t="s">
        <v>1049</v>
      </c>
    </row>
    <row r="648" spans="1:6" outlineLevel="1" x14ac:dyDescent="0.25">
      <c r="A648" s="2">
        <v>12</v>
      </c>
      <c r="B648" s="2" t="s">
        <v>1051</v>
      </c>
      <c r="C648" s="2" t="s">
        <v>1050</v>
      </c>
      <c r="D648" s="160" t="s">
        <v>943</v>
      </c>
      <c r="E648" s="37">
        <v>0.2</v>
      </c>
      <c r="F648" s="2"/>
    </row>
    <row r="649" spans="1:6" ht="14.4" thickBot="1" x14ac:dyDescent="0.3"/>
    <row r="650" spans="1:6" ht="14.4" outlineLevel="1" thickBot="1" x14ac:dyDescent="0.3">
      <c r="A650" s="350" t="s">
        <v>1079</v>
      </c>
      <c r="B650" s="351"/>
      <c r="C650" s="351"/>
      <c r="D650" s="351"/>
      <c r="E650" s="351"/>
      <c r="F650" s="352"/>
    </row>
    <row r="651" spans="1:6" outlineLevel="1" x14ac:dyDescent="0.25">
      <c r="A651" s="9">
        <v>1</v>
      </c>
      <c r="B651" s="9" t="s">
        <v>55</v>
      </c>
      <c r="C651" s="9" t="s">
        <v>821</v>
      </c>
      <c r="D651" s="9" t="s">
        <v>597</v>
      </c>
      <c r="E651" s="40">
        <v>0.2</v>
      </c>
      <c r="F651" s="9" t="s">
        <v>1056</v>
      </c>
    </row>
    <row r="652" spans="1:6" outlineLevel="1" x14ac:dyDescent="0.25">
      <c r="A652" s="2">
        <v>2</v>
      </c>
      <c r="B652" s="2" t="s">
        <v>1057</v>
      </c>
      <c r="C652" s="2" t="s">
        <v>1058</v>
      </c>
      <c r="D652" s="2" t="s">
        <v>724</v>
      </c>
      <c r="E652" s="37">
        <v>0.2</v>
      </c>
      <c r="F652" s="2" t="s">
        <v>1063</v>
      </c>
    </row>
    <row r="653" spans="1:6" outlineLevel="1" x14ac:dyDescent="0.25">
      <c r="A653" s="2">
        <v>3</v>
      </c>
      <c r="B653" s="2" t="s">
        <v>1059</v>
      </c>
      <c r="C653" s="2" t="s">
        <v>1060</v>
      </c>
      <c r="D653" s="2" t="s">
        <v>1061</v>
      </c>
      <c r="E653" s="37">
        <v>0.2</v>
      </c>
      <c r="F653" s="2" t="s">
        <v>1062</v>
      </c>
    </row>
    <row r="654" spans="1:6" outlineLevel="1" x14ac:dyDescent="0.25">
      <c r="A654" s="2">
        <v>4</v>
      </c>
      <c r="B654" s="2" t="s">
        <v>1065</v>
      </c>
      <c r="C654" s="2" t="s">
        <v>1064</v>
      </c>
      <c r="D654" s="2">
        <v>1</v>
      </c>
      <c r="E654" s="37">
        <v>0.2</v>
      </c>
      <c r="F654" s="2"/>
    </row>
    <row r="655" spans="1:6" outlineLevel="1" x14ac:dyDescent="0.25">
      <c r="A655" s="2">
        <v>5</v>
      </c>
      <c r="B655" s="2" t="s">
        <v>1066</v>
      </c>
      <c r="C655" s="2" t="s">
        <v>1067</v>
      </c>
      <c r="D655" s="2" t="s">
        <v>724</v>
      </c>
      <c r="E655" s="37">
        <v>0.2</v>
      </c>
      <c r="F655" s="2" t="s">
        <v>946</v>
      </c>
    </row>
    <row r="656" spans="1:6" outlineLevel="1" x14ac:dyDescent="0.25">
      <c r="A656" s="2">
        <v>6</v>
      </c>
      <c r="B656" s="2" t="s">
        <v>1068</v>
      </c>
      <c r="C656" s="2" t="s">
        <v>1069</v>
      </c>
      <c r="D656" s="2" t="s">
        <v>724</v>
      </c>
      <c r="E656" s="37">
        <v>0.2</v>
      </c>
      <c r="F656" s="2"/>
    </row>
    <row r="657" spans="1:6" outlineLevel="1" x14ac:dyDescent="0.25">
      <c r="A657" s="2">
        <v>7</v>
      </c>
      <c r="B657" s="2" t="s">
        <v>1074</v>
      </c>
      <c r="C657" s="2" t="s">
        <v>1073</v>
      </c>
      <c r="D657" s="2" t="s">
        <v>943</v>
      </c>
      <c r="E657" s="37">
        <v>0.2</v>
      </c>
      <c r="F657" s="2" t="s">
        <v>947</v>
      </c>
    </row>
    <row r="658" spans="1:6" ht="27.6" outlineLevel="1" x14ac:dyDescent="0.25">
      <c r="A658" s="2">
        <v>8</v>
      </c>
      <c r="B658" s="2" t="s">
        <v>1070</v>
      </c>
      <c r="C658" s="5" t="s">
        <v>1071</v>
      </c>
      <c r="D658" s="2">
        <v>1</v>
      </c>
      <c r="E658" s="37">
        <v>0.2</v>
      </c>
      <c r="F658" s="2" t="s">
        <v>1072</v>
      </c>
    </row>
    <row r="659" spans="1:6" outlineLevel="1" x14ac:dyDescent="0.25">
      <c r="A659" s="2">
        <v>9</v>
      </c>
      <c r="B659" s="2" t="s">
        <v>1076</v>
      </c>
      <c r="C659" s="2" t="s">
        <v>1077</v>
      </c>
      <c r="D659" s="2">
        <v>3</v>
      </c>
      <c r="E659" s="37">
        <v>0.2</v>
      </c>
      <c r="F659" s="2" t="s">
        <v>1075</v>
      </c>
    </row>
    <row r="660" spans="1:6" outlineLevel="1" x14ac:dyDescent="0.25">
      <c r="A660" s="2">
        <v>10</v>
      </c>
      <c r="B660" s="2" t="s">
        <v>112</v>
      </c>
      <c r="C660" s="2" t="s">
        <v>393</v>
      </c>
      <c r="D660" s="2">
        <v>2</v>
      </c>
      <c r="E660" s="37">
        <v>0.2</v>
      </c>
      <c r="F660" s="2" t="s">
        <v>1078</v>
      </c>
    </row>
    <row r="661" spans="1:6" outlineLevel="1" x14ac:dyDescent="0.25"/>
    <row r="662" spans="1:6" ht="14.4" outlineLevel="1" thickBot="1" x14ac:dyDescent="0.3"/>
    <row r="663" spans="1:6" ht="14.4" outlineLevel="1" thickBot="1" x14ac:dyDescent="0.3">
      <c r="A663" s="328" t="s">
        <v>1080</v>
      </c>
      <c r="B663" s="329"/>
      <c r="C663" s="329"/>
      <c r="D663" s="329"/>
      <c r="E663" s="329"/>
      <c r="F663" s="330"/>
    </row>
    <row r="664" spans="1:6" outlineLevel="1" x14ac:dyDescent="0.25">
      <c r="A664" s="9">
        <v>1</v>
      </c>
      <c r="B664" s="9" t="s">
        <v>1109</v>
      </c>
      <c r="C664" s="9" t="s">
        <v>1082</v>
      </c>
      <c r="D664" s="9">
        <v>2</v>
      </c>
      <c r="E664" s="40">
        <v>0.2</v>
      </c>
      <c r="F664" s="9" t="s">
        <v>1084</v>
      </c>
    </row>
    <row r="665" spans="1:6" outlineLevel="1" x14ac:dyDescent="0.25">
      <c r="A665" s="2">
        <v>2</v>
      </c>
      <c r="B665" s="2" t="s">
        <v>1081</v>
      </c>
      <c r="C665" s="2" t="s">
        <v>1083</v>
      </c>
      <c r="D665" s="2">
        <v>4</v>
      </c>
      <c r="E665" s="37">
        <v>0.2</v>
      </c>
      <c r="F665" s="2" t="s">
        <v>1084</v>
      </c>
    </row>
    <row r="666" spans="1:6" ht="27.6" outlineLevel="1" x14ac:dyDescent="0.25">
      <c r="A666" s="2">
        <v>3</v>
      </c>
      <c r="B666" s="2" t="s">
        <v>1085</v>
      </c>
      <c r="C666" s="5" t="s">
        <v>1087</v>
      </c>
      <c r="D666" s="2" t="s">
        <v>1086</v>
      </c>
      <c r="E666" s="37">
        <v>0.2</v>
      </c>
      <c r="F666" s="2" t="s">
        <v>1099</v>
      </c>
    </row>
    <row r="667" spans="1:6" ht="41.4" outlineLevel="1" x14ac:dyDescent="0.25">
      <c r="A667" s="2">
        <v>4</v>
      </c>
      <c r="B667" s="8" t="s">
        <v>1088</v>
      </c>
      <c r="C667" s="5" t="s">
        <v>1092</v>
      </c>
      <c r="D667" s="2" t="s">
        <v>1090</v>
      </c>
      <c r="E667" s="37">
        <v>0.2</v>
      </c>
      <c r="F667" s="2" t="s">
        <v>1091</v>
      </c>
    </row>
    <row r="668" spans="1:6" outlineLevel="1" x14ac:dyDescent="0.25">
      <c r="A668" s="2">
        <v>5</v>
      </c>
      <c r="B668" s="2" t="s">
        <v>1089</v>
      </c>
      <c r="C668" s="2" t="s">
        <v>1096</v>
      </c>
      <c r="D668" s="2"/>
      <c r="E668" s="2"/>
      <c r="F668" s="2"/>
    </row>
    <row r="669" spans="1:6" outlineLevel="1" x14ac:dyDescent="0.25">
      <c r="A669" s="2">
        <v>6</v>
      </c>
      <c r="B669" s="2" t="s">
        <v>1093</v>
      </c>
      <c r="C669" s="2" t="s">
        <v>467</v>
      </c>
      <c r="D669" s="2">
        <v>3</v>
      </c>
      <c r="E669" s="2"/>
      <c r="F669" s="2" t="s">
        <v>1106</v>
      </c>
    </row>
    <row r="670" spans="1:6" outlineLevel="1" x14ac:dyDescent="0.25">
      <c r="A670" s="2">
        <v>7</v>
      </c>
      <c r="B670" s="2" t="s">
        <v>848</v>
      </c>
      <c r="C670" s="2" t="s">
        <v>1094</v>
      </c>
      <c r="D670" s="2"/>
      <c r="E670" s="2"/>
      <c r="F670" s="2" t="s">
        <v>1108</v>
      </c>
    </row>
    <row r="671" spans="1:6" outlineLevel="1" x14ac:dyDescent="0.25">
      <c r="A671" s="2">
        <v>8</v>
      </c>
      <c r="B671" s="2" t="s">
        <v>1103</v>
      </c>
      <c r="C671" s="2" t="s">
        <v>1095</v>
      </c>
      <c r="D671" s="2">
        <v>3</v>
      </c>
      <c r="E671" s="2"/>
      <c r="F671" s="2" t="s">
        <v>1107</v>
      </c>
    </row>
    <row r="672" spans="1:6" outlineLevel="1" x14ac:dyDescent="0.25">
      <c r="A672" s="2">
        <v>9</v>
      </c>
      <c r="B672" s="2" t="s">
        <v>1103</v>
      </c>
      <c r="C672" s="2" t="s">
        <v>467</v>
      </c>
      <c r="D672" s="2">
        <v>6</v>
      </c>
      <c r="E672" s="2"/>
      <c r="F672" s="2" t="s">
        <v>1107</v>
      </c>
    </row>
    <row r="673" spans="1:8" outlineLevel="1" x14ac:dyDescent="0.25">
      <c r="A673" s="2">
        <v>10</v>
      </c>
      <c r="B673" s="2" t="s">
        <v>1097</v>
      </c>
      <c r="C673" s="2" t="s">
        <v>692</v>
      </c>
      <c r="D673" s="2"/>
      <c r="E673" s="2"/>
      <c r="F673" s="2"/>
    </row>
    <row r="674" spans="1:8" ht="27.6" outlineLevel="1" x14ac:dyDescent="0.25">
      <c r="A674" s="2">
        <v>11</v>
      </c>
      <c r="B674" s="2" t="s">
        <v>1098</v>
      </c>
      <c r="C674" s="2" t="s">
        <v>1100</v>
      </c>
      <c r="D674" s="2" t="s">
        <v>1101</v>
      </c>
      <c r="E674" s="37">
        <v>0.2</v>
      </c>
      <c r="F674" s="5" t="s">
        <v>1102</v>
      </c>
    </row>
    <row r="675" spans="1:8" outlineLevel="1" x14ac:dyDescent="0.25">
      <c r="A675" s="2">
        <v>12</v>
      </c>
      <c r="B675" s="2" t="s">
        <v>1110</v>
      </c>
      <c r="C675" s="2" t="s">
        <v>1104</v>
      </c>
      <c r="D675" s="2">
        <v>1</v>
      </c>
      <c r="E675" s="2" t="s">
        <v>1105</v>
      </c>
      <c r="F675" s="2"/>
    </row>
    <row r="676" spans="1:8" ht="14.4" thickBot="1" x14ac:dyDescent="0.3"/>
    <row r="677" spans="1:8" ht="14.4" thickBot="1" x14ac:dyDescent="0.3">
      <c r="A677" s="368" t="s">
        <v>1131</v>
      </c>
      <c r="B677" s="323"/>
      <c r="C677" s="323"/>
      <c r="D677" s="323"/>
      <c r="E677" s="323"/>
      <c r="F677" s="324"/>
      <c r="H677" s="1" t="s">
        <v>95</v>
      </c>
    </row>
    <row r="678" spans="1:8" x14ac:dyDescent="0.25">
      <c r="A678" s="9">
        <v>1</v>
      </c>
      <c r="B678" s="9" t="s">
        <v>1112</v>
      </c>
      <c r="C678" s="215" t="s">
        <v>1119</v>
      </c>
      <c r="D678" s="9" t="s">
        <v>1132</v>
      </c>
      <c r="E678" s="9"/>
      <c r="F678" s="9"/>
    </row>
    <row r="679" spans="1:8" x14ac:dyDescent="0.25">
      <c r="A679" s="2">
        <v>2</v>
      </c>
      <c r="B679" s="2" t="s">
        <v>1111</v>
      </c>
      <c r="C679" s="2" t="s">
        <v>1120</v>
      </c>
      <c r="D679" s="2" t="s">
        <v>1149</v>
      </c>
      <c r="E679" s="2"/>
      <c r="F679" s="2" t="s">
        <v>1148</v>
      </c>
    </row>
    <row r="680" spans="1:8" x14ac:dyDescent="0.25">
      <c r="A680" s="2">
        <v>3</v>
      </c>
      <c r="B680" s="2" t="s">
        <v>1113</v>
      </c>
      <c r="C680" s="2" t="s">
        <v>1114</v>
      </c>
      <c r="D680" s="2" t="s">
        <v>1047</v>
      </c>
      <c r="E680" s="2"/>
      <c r="F680" s="2"/>
    </row>
    <row r="681" spans="1:8" x14ac:dyDescent="0.25">
      <c r="A681" s="2">
        <v>4</v>
      </c>
      <c r="B681" s="2" t="s">
        <v>1116</v>
      </c>
      <c r="C681" s="2" t="s">
        <v>1115</v>
      </c>
      <c r="D681" s="2"/>
      <c r="E681" s="2"/>
      <c r="F681" s="2" t="s">
        <v>1142</v>
      </c>
    </row>
    <row r="682" spans="1:8" x14ac:dyDescent="0.25">
      <c r="A682" s="2">
        <v>5</v>
      </c>
      <c r="B682" s="2" t="s">
        <v>1117</v>
      </c>
      <c r="C682" s="156" t="s">
        <v>1121</v>
      </c>
      <c r="D682" s="2" t="s">
        <v>1118</v>
      </c>
      <c r="E682" s="37">
        <v>0.2</v>
      </c>
      <c r="F682" s="2" t="s">
        <v>1141</v>
      </c>
    </row>
    <row r="683" spans="1:8" x14ac:dyDescent="0.25">
      <c r="A683" s="2">
        <v>6</v>
      </c>
      <c r="B683" s="2" t="s">
        <v>1140</v>
      </c>
      <c r="C683" s="2" t="s">
        <v>1122</v>
      </c>
      <c r="D683" s="2" t="s">
        <v>1146</v>
      </c>
      <c r="E683" s="37">
        <v>0.2</v>
      </c>
      <c r="F683" s="2" t="s">
        <v>1147</v>
      </c>
    </row>
    <row r="684" spans="1:8" x14ac:dyDescent="0.25">
      <c r="A684" s="2">
        <v>7</v>
      </c>
      <c r="B684" s="2" t="s">
        <v>1123</v>
      </c>
      <c r="C684" s="2" t="s">
        <v>1139</v>
      </c>
      <c r="D684" s="2"/>
      <c r="E684" s="2"/>
      <c r="F684" s="2"/>
    </row>
    <row r="685" spans="1:8" x14ac:dyDescent="0.25">
      <c r="A685" s="2">
        <v>8</v>
      </c>
      <c r="B685" s="2" t="s">
        <v>1124</v>
      </c>
      <c r="C685" s="2" t="s">
        <v>1137</v>
      </c>
      <c r="D685" s="2" t="s">
        <v>1138</v>
      </c>
      <c r="E685" s="2"/>
      <c r="F685" s="2"/>
    </row>
    <row r="686" spans="1:8" x14ac:dyDescent="0.25">
      <c r="A686" s="2">
        <v>9</v>
      </c>
      <c r="B686" s="2" t="s">
        <v>1125</v>
      </c>
      <c r="C686" s="2" t="s">
        <v>819</v>
      </c>
      <c r="D686" s="2">
        <v>1</v>
      </c>
      <c r="E686" s="2"/>
      <c r="F686" s="2" t="s">
        <v>1143</v>
      </c>
    </row>
    <row r="687" spans="1:8" x14ac:dyDescent="0.25">
      <c r="A687" s="2">
        <v>10</v>
      </c>
      <c r="B687" s="2" t="s">
        <v>1126</v>
      </c>
      <c r="C687" s="2" t="s">
        <v>1127</v>
      </c>
      <c r="D687" s="2">
        <v>2</v>
      </c>
      <c r="E687" s="2">
        <v>4200</v>
      </c>
      <c r="F687" s="2" t="s">
        <v>1144</v>
      </c>
    </row>
    <row r="688" spans="1:8" x14ac:dyDescent="0.25">
      <c r="A688" s="2">
        <v>11</v>
      </c>
      <c r="B688" s="2" t="s">
        <v>1128</v>
      </c>
      <c r="C688" s="2" t="s">
        <v>426</v>
      </c>
      <c r="D688" s="2">
        <v>2</v>
      </c>
      <c r="E688" s="2"/>
      <c r="F688" s="2"/>
    </row>
    <row r="689" spans="1:6" x14ac:dyDescent="0.25">
      <c r="A689" s="2">
        <v>12</v>
      </c>
      <c r="B689" s="2" t="s">
        <v>1129</v>
      </c>
      <c r="C689" s="2" t="s">
        <v>1130</v>
      </c>
      <c r="D689" s="2" t="s">
        <v>943</v>
      </c>
      <c r="E689" s="37">
        <v>0.2</v>
      </c>
      <c r="F689" s="2" t="s">
        <v>1133</v>
      </c>
    </row>
    <row r="690" spans="1:6" x14ac:dyDescent="0.25">
      <c r="A690" s="130">
        <v>13</v>
      </c>
      <c r="B690" s="130" t="s">
        <v>1134</v>
      </c>
      <c r="C690" s="130" t="s">
        <v>1041</v>
      </c>
      <c r="D690" s="130">
        <v>1</v>
      </c>
      <c r="E690" s="130" t="s">
        <v>1135</v>
      </c>
      <c r="F690" s="130" t="s">
        <v>1136</v>
      </c>
    </row>
    <row r="691" spans="1:6" x14ac:dyDescent="0.25">
      <c r="A691" s="2">
        <v>14</v>
      </c>
      <c r="B691" s="2" t="s">
        <v>1145</v>
      </c>
      <c r="C691" s="2" t="s">
        <v>417</v>
      </c>
      <c r="D691" s="2">
        <v>1</v>
      </c>
      <c r="E691" s="37">
        <v>0.2</v>
      </c>
      <c r="F691" s="2"/>
    </row>
    <row r="693" spans="1:6" ht="14.4" thickBot="1" x14ac:dyDescent="0.3"/>
    <row r="694" spans="1:6" x14ac:dyDescent="0.25">
      <c r="A694" s="325" t="s">
        <v>1169</v>
      </c>
      <c r="B694" s="326"/>
      <c r="C694" s="326"/>
      <c r="D694" s="326"/>
      <c r="E694" s="326"/>
      <c r="F694" s="327"/>
    </row>
    <row r="695" spans="1:6" x14ac:dyDescent="0.25">
      <c r="A695" s="2">
        <v>1</v>
      </c>
      <c r="B695" s="2" t="s">
        <v>1170</v>
      </c>
      <c r="C695" s="2" t="s">
        <v>1175</v>
      </c>
      <c r="D695" s="2" t="s">
        <v>943</v>
      </c>
      <c r="E695" s="37">
        <v>0.2</v>
      </c>
      <c r="F695" s="2" t="s">
        <v>1176</v>
      </c>
    </row>
    <row r="696" spans="1:6" x14ac:dyDescent="0.25">
      <c r="A696" s="2">
        <v>2</v>
      </c>
      <c r="B696" s="2" t="s">
        <v>1171</v>
      </c>
      <c r="C696" s="2" t="s">
        <v>355</v>
      </c>
      <c r="D696" s="2">
        <v>2</v>
      </c>
      <c r="E696" s="37">
        <v>0.2</v>
      </c>
      <c r="F696" s="2" t="s">
        <v>1172</v>
      </c>
    </row>
    <row r="697" spans="1:6" x14ac:dyDescent="0.25">
      <c r="A697" s="2">
        <v>3</v>
      </c>
      <c r="B697" s="2" t="s">
        <v>112</v>
      </c>
      <c r="C697" s="156" t="s">
        <v>1173</v>
      </c>
      <c r="D697" s="2" t="s">
        <v>1027</v>
      </c>
      <c r="E697" s="37">
        <v>0.2</v>
      </c>
      <c r="F697" s="2" t="s">
        <v>1174</v>
      </c>
    </row>
    <row r="698" spans="1:6" x14ac:dyDescent="0.25">
      <c r="A698" s="2">
        <v>4</v>
      </c>
      <c r="B698" s="2" t="s">
        <v>100</v>
      </c>
      <c r="C698" s="2" t="s">
        <v>1178</v>
      </c>
      <c r="D698" s="2" t="s">
        <v>1177</v>
      </c>
      <c r="E698" s="37">
        <v>0.2</v>
      </c>
      <c r="F698" s="2" t="s">
        <v>1179</v>
      </c>
    </row>
    <row r="699" spans="1:6" x14ac:dyDescent="0.25">
      <c r="A699" s="2">
        <v>5</v>
      </c>
      <c r="B699" s="2" t="s">
        <v>1180</v>
      </c>
      <c r="C699" s="2" t="s">
        <v>355</v>
      </c>
      <c r="D699" s="2">
        <v>1</v>
      </c>
      <c r="E699" s="37">
        <v>0.2</v>
      </c>
      <c r="F699" s="2" t="s">
        <v>1181</v>
      </c>
    </row>
    <row r="700" spans="1:6" x14ac:dyDescent="0.25">
      <c r="A700" s="2">
        <v>6</v>
      </c>
      <c r="B700" s="2" t="s">
        <v>839</v>
      </c>
      <c r="C700" s="2" t="s">
        <v>1182</v>
      </c>
      <c r="D700" s="2" t="s">
        <v>1019</v>
      </c>
      <c r="E700" s="37">
        <v>0.2</v>
      </c>
      <c r="F700" s="2"/>
    </row>
    <row r="701" spans="1:6" x14ac:dyDescent="0.25">
      <c r="A701" s="2">
        <v>7</v>
      </c>
      <c r="B701" s="2" t="s">
        <v>1185</v>
      </c>
      <c r="C701" s="2" t="s">
        <v>1183</v>
      </c>
      <c r="D701" s="2" t="s">
        <v>1138</v>
      </c>
      <c r="E701" s="37">
        <v>0.2</v>
      </c>
      <c r="F701" s="2" t="s">
        <v>1184</v>
      </c>
    </row>
    <row r="702" spans="1:6" x14ac:dyDescent="0.25">
      <c r="A702" s="2">
        <v>8</v>
      </c>
      <c r="B702" s="2" t="s">
        <v>1186</v>
      </c>
      <c r="C702" s="2" t="s">
        <v>1188</v>
      </c>
      <c r="D702" s="2" t="s">
        <v>943</v>
      </c>
      <c r="E702" s="37">
        <v>0.2</v>
      </c>
      <c r="F702" s="2"/>
    </row>
    <row r="703" spans="1:6" x14ac:dyDescent="0.25">
      <c r="A703" s="2">
        <v>9</v>
      </c>
      <c r="B703" s="2" t="s">
        <v>1187</v>
      </c>
      <c r="C703" s="2" t="s">
        <v>729</v>
      </c>
      <c r="D703" s="2">
        <v>1</v>
      </c>
      <c r="E703" s="156">
        <v>1400000</v>
      </c>
      <c r="F703" s="2"/>
    </row>
    <row r="706" spans="1:6" x14ac:dyDescent="0.25">
      <c r="A706" s="2"/>
      <c r="B706" s="2" t="s">
        <v>1199</v>
      </c>
      <c r="C706" s="156">
        <v>1790000</v>
      </c>
      <c r="D706" s="2" t="s">
        <v>1200</v>
      </c>
      <c r="E706" s="2" t="s">
        <v>1201</v>
      </c>
      <c r="F706" s="2"/>
    </row>
    <row r="708" spans="1:6" ht="15.6" x14ac:dyDescent="0.3">
      <c r="C708" s="387" t="s">
        <v>1202</v>
      </c>
      <c r="D708" s="387"/>
    </row>
    <row r="709" spans="1:6" ht="15.6" x14ac:dyDescent="0.3">
      <c r="C709" s="225" t="s">
        <v>1189</v>
      </c>
      <c r="D709" s="226">
        <v>4</v>
      </c>
    </row>
    <row r="710" spans="1:6" ht="15.6" x14ac:dyDescent="0.3">
      <c r="C710" s="225" t="s">
        <v>1190</v>
      </c>
      <c r="D710" s="227">
        <v>4</v>
      </c>
    </row>
    <row r="711" spans="1:6" ht="15.6" x14ac:dyDescent="0.3">
      <c r="C711" s="228" t="s">
        <v>1191</v>
      </c>
      <c r="D711" s="228">
        <v>8</v>
      </c>
      <c r="E711" s="1" t="s">
        <v>1196</v>
      </c>
    </row>
    <row r="712" spans="1:6" ht="15.6" x14ac:dyDescent="0.3">
      <c r="C712" s="226" t="s">
        <v>923</v>
      </c>
      <c r="D712" s="226">
        <v>4</v>
      </c>
    </row>
    <row r="713" spans="1:6" ht="15.6" x14ac:dyDescent="0.3">
      <c r="C713" s="226" t="s">
        <v>823</v>
      </c>
      <c r="D713" s="226">
        <v>2</v>
      </c>
    </row>
    <row r="714" spans="1:6" ht="15.6" x14ac:dyDescent="0.3">
      <c r="C714" s="226" t="s">
        <v>1192</v>
      </c>
      <c r="D714" s="226">
        <v>3</v>
      </c>
    </row>
    <row r="715" spans="1:6" ht="15.6" x14ac:dyDescent="0.3">
      <c r="C715" s="229" t="s">
        <v>1193</v>
      </c>
      <c r="D715" s="229">
        <v>6</v>
      </c>
      <c r="E715" s="1" t="s">
        <v>1198</v>
      </c>
    </row>
    <row r="716" spans="1:6" ht="15.6" x14ac:dyDescent="0.3">
      <c r="C716" s="230" t="s">
        <v>355</v>
      </c>
      <c r="D716" s="230">
        <v>11</v>
      </c>
      <c r="E716" s="1" t="s">
        <v>1197</v>
      </c>
    </row>
    <row r="717" spans="1:6" ht="15.6" x14ac:dyDescent="0.3">
      <c r="C717" s="226" t="s">
        <v>892</v>
      </c>
      <c r="D717" s="226">
        <v>1</v>
      </c>
    </row>
    <row r="718" spans="1:6" ht="15.6" x14ac:dyDescent="0.3">
      <c r="C718" s="226" t="s">
        <v>821</v>
      </c>
      <c r="D718" s="226">
        <v>2</v>
      </c>
    </row>
    <row r="719" spans="1:6" ht="15.6" x14ac:dyDescent="0.3">
      <c r="C719" s="226" t="s">
        <v>1194</v>
      </c>
      <c r="D719" s="226">
        <v>3</v>
      </c>
    </row>
    <row r="720" spans="1:6" ht="15.6" x14ac:dyDescent="0.3">
      <c r="C720" s="226" t="s">
        <v>1195</v>
      </c>
      <c r="D720" s="226">
        <v>4</v>
      </c>
    </row>
    <row r="721" spans="2:5" ht="15.6" x14ac:dyDescent="0.3">
      <c r="C721" s="231"/>
      <c r="D721" s="231">
        <f>SUM(D709:D720)</f>
        <v>52</v>
      </c>
    </row>
    <row r="723" spans="2:5" x14ac:dyDescent="0.25">
      <c r="B723" s="1" t="s">
        <v>1203</v>
      </c>
      <c r="C723" s="2" t="s">
        <v>426</v>
      </c>
      <c r="D723" s="2">
        <v>3</v>
      </c>
    </row>
    <row r="724" spans="2:5" x14ac:dyDescent="0.25">
      <c r="C724" s="2" t="s">
        <v>230</v>
      </c>
      <c r="D724" s="2">
        <v>1</v>
      </c>
    </row>
    <row r="725" spans="2:5" x14ac:dyDescent="0.25">
      <c r="C725" s="2" t="s">
        <v>1204</v>
      </c>
      <c r="D725" s="2">
        <v>3</v>
      </c>
    </row>
    <row r="726" spans="2:5" x14ac:dyDescent="0.25">
      <c r="C726" s="2" t="s">
        <v>451</v>
      </c>
      <c r="D726" s="2">
        <v>1</v>
      </c>
    </row>
    <row r="727" spans="2:5" x14ac:dyDescent="0.25">
      <c r="C727" s="2" t="s">
        <v>355</v>
      </c>
      <c r="D727" s="2">
        <v>5</v>
      </c>
    </row>
    <row r="728" spans="2:5" x14ac:dyDescent="0.25">
      <c r="C728" s="2" t="s">
        <v>393</v>
      </c>
      <c r="D728" s="2">
        <v>2</v>
      </c>
    </row>
    <row r="729" spans="2:5" x14ac:dyDescent="0.25">
      <c r="C729" s="2" t="s">
        <v>232</v>
      </c>
      <c r="D729" s="2">
        <v>5</v>
      </c>
    </row>
    <row r="730" spans="2:5" x14ac:dyDescent="0.25">
      <c r="C730" s="2" t="s">
        <v>360</v>
      </c>
      <c r="D730" s="2">
        <v>1</v>
      </c>
    </row>
    <row r="731" spans="2:5" ht="14.4" thickBot="1" x14ac:dyDescent="0.3">
      <c r="C731" s="22" t="s">
        <v>854</v>
      </c>
      <c r="D731" s="22">
        <v>1</v>
      </c>
    </row>
    <row r="732" spans="2:5" ht="14.4" thickBot="1" x14ac:dyDescent="0.3">
      <c r="C732" s="223"/>
      <c r="D732" s="224">
        <f>SUM(D723:D731)</f>
        <v>22</v>
      </c>
    </row>
    <row r="735" spans="2:5" x14ac:dyDescent="0.25">
      <c r="B735" s="1" t="s">
        <v>1205</v>
      </c>
      <c r="C735" s="232" t="s">
        <v>393</v>
      </c>
      <c r="D735" s="232">
        <v>41</v>
      </c>
      <c r="E735" s="2">
        <v>3</v>
      </c>
    </row>
    <row r="736" spans="2:5" x14ac:dyDescent="0.25">
      <c r="C736" s="2" t="s">
        <v>923</v>
      </c>
      <c r="D736" s="2">
        <v>18</v>
      </c>
      <c r="E736" s="2"/>
    </row>
    <row r="737" spans="3:5" x14ac:dyDescent="0.25">
      <c r="C737" s="2" t="s">
        <v>426</v>
      </c>
      <c r="D737" s="2">
        <v>38</v>
      </c>
      <c r="E737" s="2">
        <v>4</v>
      </c>
    </row>
    <row r="738" spans="3:5" x14ac:dyDescent="0.25">
      <c r="C738" s="2" t="s">
        <v>840</v>
      </c>
      <c r="D738" s="2">
        <v>10</v>
      </c>
      <c r="E738" s="2"/>
    </row>
    <row r="739" spans="3:5" x14ac:dyDescent="0.25">
      <c r="C739" s="233" t="s">
        <v>232</v>
      </c>
      <c r="D739" s="233">
        <v>43</v>
      </c>
      <c r="E739" s="2">
        <v>2</v>
      </c>
    </row>
    <row r="740" spans="3:5" x14ac:dyDescent="0.25">
      <c r="C740" s="234" t="s">
        <v>355</v>
      </c>
      <c r="D740" s="234">
        <v>58</v>
      </c>
      <c r="E740" s="2">
        <v>1</v>
      </c>
    </row>
    <row r="741" spans="3:5" x14ac:dyDescent="0.25">
      <c r="C741" s="2" t="s">
        <v>360</v>
      </c>
      <c r="D741" s="2">
        <v>17</v>
      </c>
      <c r="E741" s="2"/>
    </row>
    <row r="742" spans="3:5" x14ac:dyDescent="0.25">
      <c r="C742" s="2" t="s">
        <v>854</v>
      </c>
      <c r="D742" s="2">
        <v>11</v>
      </c>
      <c r="E742" s="2"/>
    </row>
  </sheetData>
  <mergeCells count="50">
    <mergeCell ref="A650:F650"/>
    <mergeCell ref="A636:F636"/>
    <mergeCell ref="A626:F626"/>
    <mergeCell ref="A613:F613"/>
    <mergeCell ref="C611:F611"/>
    <mergeCell ref="C607:F607"/>
    <mergeCell ref="C609:F609"/>
    <mergeCell ref="C610:F610"/>
    <mergeCell ref="C608:F608"/>
    <mergeCell ref="A588:F588"/>
    <mergeCell ref="A574:F574"/>
    <mergeCell ref="A563:F563"/>
    <mergeCell ref="A539:F539"/>
    <mergeCell ref="A526:F526"/>
    <mergeCell ref="A507:F507"/>
    <mergeCell ref="A1:G1"/>
    <mergeCell ref="A18:G18"/>
    <mergeCell ref="A107:H107"/>
    <mergeCell ref="A64:G64"/>
    <mergeCell ref="A82:G82"/>
    <mergeCell ref="A43:G43"/>
    <mergeCell ref="A5:G5"/>
    <mergeCell ref="A159:H159"/>
    <mergeCell ref="A132:H132"/>
    <mergeCell ref="A284:G284"/>
    <mergeCell ref="A261:G261"/>
    <mergeCell ref="A232:G232"/>
    <mergeCell ref="A213:H213"/>
    <mergeCell ref="B187:G187"/>
    <mergeCell ref="A304:G304"/>
    <mergeCell ref="A330:G330"/>
    <mergeCell ref="A390:F390"/>
    <mergeCell ref="A371:F371"/>
    <mergeCell ref="A347:G347"/>
    <mergeCell ref="C708:D708"/>
    <mergeCell ref="A694:F694"/>
    <mergeCell ref="A677:F677"/>
    <mergeCell ref="A663:F663"/>
    <mergeCell ref="A201:H201"/>
    <mergeCell ref="A494:A495"/>
    <mergeCell ref="A484:F484"/>
    <mergeCell ref="A490:A491"/>
    <mergeCell ref="A403:F403"/>
    <mergeCell ref="A464:F464"/>
    <mergeCell ref="E405:F405"/>
    <mergeCell ref="A442:F442"/>
    <mergeCell ref="D431:F431"/>
    <mergeCell ref="D432:F432"/>
    <mergeCell ref="A419:F419"/>
    <mergeCell ref="D429:F429"/>
  </mergeCells>
  <hyperlinks>
    <hyperlink ref="B240" r:id="rId1" xr:uid="{5EF390B4-4D6E-42F9-B98A-BEB077B9C7EE}"/>
  </hyperlinks>
  <pageMargins left="0.7" right="0.7" top="0.75" bottom="0.75" header="0.3" footer="0.3"/>
  <pageSetup paperSize="9" scale="61" orientation="portrait" verticalDpi="0" r:id="rId2"/>
  <rowBreaks count="4" manualBreakCount="4">
    <brk id="41" max="5" man="1"/>
    <brk id="181" max="5" man="1"/>
    <brk id="252" max="5" man="1"/>
    <brk id="608"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73B5C-A190-422B-AFA4-5226BE39C124}">
  <sheetPr>
    <pageSetUpPr fitToPage="1"/>
  </sheetPr>
  <dimension ref="A1:K10"/>
  <sheetViews>
    <sheetView view="pageBreakPreview" zoomScale="130" zoomScaleNormal="100" zoomScaleSheetLayoutView="130" workbookViewId="0">
      <selection activeCell="C16" sqref="C16"/>
    </sheetView>
  </sheetViews>
  <sheetFormatPr defaultColWidth="8.88671875" defaultRowHeight="10.199999999999999" x14ac:dyDescent="0.2"/>
  <cols>
    <col min="1" max="1" width="23.88671875" style="103" customWidth="1"/>
    <col min="2" max="2" width="17.5546875" style="103" customWidth="1"/>
    <col min="3" max="4" width="5.33203125" style="103" customWidth="1"/>
    <col min="5" max="5" width="13.33203125" style="103" customWidth="1"/>
    <col min="6" max="6" width="15.6640625" style="103" customWidth="1"/>
    <col min="7" max="7" width="24" style="103" customWidth="1"/>
    <col min="8" max="8" width="4.33203125" style="103" customWidth="1"/>
    <col min="9" max="9" width="27.44140625" style="103" customWidth="1"/>
    <col min="10" max="16384" width="8.88671875" style="103"/>
  </cols>
  <sheetData>
    <row r="1" spans="1:11" ht="45.6" customHeight="1" x14ac:dyDescent="0.35">
      <c r="A1" s="252" t="s">
        <v>504</v>
      </c>
      <c r="B1" s="411" t="s">
        <v>1585</v>
      </c>
      <c r="C1" s="412"/>
      <c r="D1" s="412"/>
      <c r="E1" s="412"/>
      <c r="F1" s="412"/>
      <c r="G1" s="412"/>
      <c r="H1" s="412"/>
      <c r="I1" s="246"/>
      <c r="J1" s="108"/>
      <c r="K1" s="108"/>
    </row>
    <row r="2" spans="1:11" ht="31.2" customHeight="1" x14ac:dyDescent="0.2">
      <c r="A2" s="253" t="s">
        <v>42</v>
      </c>
      <c r="B2" s="413" t="s">
        <v>1607</v>
      </c>
      <c r="C2" s="414"/>
      <c r="D2" s="414"/>
      <c r="E2" s="414"/>
      <c r="F2" s="414"/>
      <c r="G2" s="414"/>
      <c r="H2" s="415"/>
      <c r="I2" s="409"/>
      <c r="J2" s="108"/>
      <c r="K2" s="108"/>
    </row>
    <row r="3" spans="1:11" ht="27.6" customHeight="1" x14ac:dyDescent="0.2">
      <c r="A3" s="254" t="s">
        <v>49</v>
      </c>
      <c r="B3" s="416" t="s">
        <v>1590</v>
      </c>
      <c r="C3" s="417"/>
      <c r="D3" s="417"/>
      <c r="E3" s="417"/>
      <c r="F3" s="417"/>
      <c r="G3" s="417"/>
      <c r="H3" s="418"/>
      <c r="I3" s="409"/>
      <c r="J3" s="108"/>
      <c r="K3" s="108"/>
    </row>
    <row r="4" spans="1:11" ht="33" customHeight="1" x14ac:dyDescent="0.35">
      <c r="A4" s="252" t="s">
        <v>112</v>
      </c>
      <c r="B4" s="419" t="s">
        <v>1586</v>
      </c>
      <c r="C4" s="420"/>
      <c r="D4" s="420"/>
      <c r="E4" s="420"/>
      <c r="F4" s="420"/>
      <c r="G4" s="420"/>
      <c r="H4" s="421"/>
      <c r="I4" s="246"/>
      <c r="J4" s="108"/>
      <c r="K4" s="108"/>
    </row>
    <row r="5" spans="1:11" ht="18" x14ac:dyDescent="0.35">
      <c r="A5" s="252" t="s">
        <v>310</v>
      </c>
      <c r="B5" s="422"/>
      <c r="C5" s="423"/>
      <c r="D5" s="423"/>
      <c r="E5" s="423"/>
      <c r="F5" s="423"/>
      <c r="G5" s="423"/>
      <c r="H5" s="424"/>
      <c r="I5" s="110"/>
      <c r="J5" s="108"/>
      <c r="K5" s="108"/>
    </row>
    <row r="6" spans="1:11" x14ac:dyDescent="0.2">
      <c r="A6" s="410" t="s">
        <v>490</v>
      </c>
      <c r="B6" s="398" t="s">
        <v>1587</v>
      </c>
      <c r="C6" s="399"/>
      <c r="D6" s="399"/>
      <c r="E6" s="399"/>
      <c r="F6" s="399"/>
      <c r="G6" s="399"/>
      <c r="H6" s="400"/>
      <c r="I6" s="409"/>
      <c r="J6" s="108"/>
      <c r="K6" s="108"/>
    </row>
    <row r="7" spans="1:11" x14ac:dyDescent="0.2">
      <c r="A7" s="410"/>
      <c r="B7" s="401"/>
      <c r="C7" s="402"/>
      <c r="D7" s="402"/>
      <c r="E7" s="402"/>
      <c r="F7" s="402"/>
      <c r="G7" s="402"/>
      <c r="H7" s="403"/>
      <c r="I7" s="409"/>
      <c r="J7" s="108"/>
      <c r="K7" s="108"/>
    </row>
    <row r="8" spans="1:11" ht="18" x14ac:dyDescent="0.35">
      <c r="A8" s="252" t="s">
        <v>1589</v>
      </c>
      <c r="B8" s="404" t="s">
        <v>426</v>
      </c>
      <c r="C8" s="405"/>
      <c r="D8" s="405"/>
      <c r="E8" s="405"/>
      <c r="F8" s="405"/>
      <c r="G8" s="405"/>
      <c r="H8" s="406"/>
      <c r="I8" s="246"/>
      <c r="J8" s="108"/>
      <c r="K8" s="108"/>
    </row>
    <row r="9" spans="1:11" ht="18" x14ac:dyDescent="0.35">
      <c r="A9" s="255" t="s">
        <v>1150</v>
      </c>
      <c r="B9" s="407" t="s">
        <v>1588</v>
      </c>
      <c r="C9" s="408"/>
      <c r="D9" s="408"/>
      <c r="E9" s="408"/>
      <c r="F9" s="408"/>
      <c r="G9" s="408"/>
      <c r="H9" s="408"/>
      <c r="I9" s="246"/>
      <c r="J9" s="108"/>
      <c r="K9" s="108"/>
    </row>
    <row r="10" spans="1:11" ht="18" x14ac:dyDescent="0.35">
      <c r="A10" s="256" t="s">
        <v>1167</v>
      </c>
      <c r="B10" s="397" t="s">
        <v>1606</v>
      </c>
      <c r="C10" s="397"/>
      <c r="D10" s="397"/>
      <c r="E10" s="397"/>
      <c r="F10" s="397"/>
      <c r="G10" s="397"/>
      <c r="H10" s="397"/>
    </row>
  </sheetData>
  <mergeCells count="12">
    <mergeCell ref="A6:A7"/>
    <mergeCell ref="I6:I7"/>
    <mergeCell ref="B1:H1"/>
    <mergeCell ref="B2:H2"/>
    <mergeCell ref="B3:H3"/>
    <mergeCell ref="B4:H4"/>
    <mergeCell ref="B5:H5"/>
    <mergeCell ref="B10:H10"/>
    <mergeCell ref="B6:H7"/>
    <mergeCell ref="B8:H8"/>
    <mergeCell ref="B9:H9"/>
    <mergeCell ref="I2:I3"/>
  </mergeCells>
  <pageMargins left="0.7" right="0.7" top="0.75" bottom="0.75" header="0.3" footer="0.3"/>
  <pageSetup paperSize="9" fitToWidth="0"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F0104-DF88-4EAD-8E01-8057469F578E}">
  <sheetPr>
    <pageSetUpPr fitToPage="1"/>
  </sheetPr>
  <dimension ref="A1:K60"/>
  <sheetViews>
    <sheetView view="pageBreakPreview" topLeftCell="A31" zoomScale="110" zoomScaleNormal="100" zoomScaleSheetLayoutView="110" workbookViewId="0">
      <selection activeCell="G27" sqref="G27"/>
    </sheetView>
  </sheetViews>
  <sheetFormatPr defaultColWidth="8.88671875" defaultRowHeight="10.199999999999999" x14ac:dyDescent="0.2"/>
  <cols>
    <col min="1" max="1" width="23.88671875" style="103" customWidth="1"/>
    <col min="2" max="2" width="15.88671875" style="103" customWidth="1"/>
    <col min="3" max="4" width="5.33203125" style="103" customWidth="1"/>
    <col min="5" max="5" width="13.33203125" style="103" customWidth="1"/>
    <col min="6" max="6" width="15.6640625" style="103" customWidth="1"/>
    <col min="7" max="7" width="11" style="103" customWidth="1"/>
    <col min="8" max="8" width="6" style="103" customWidth="1"/>
    <col min="9" max="9" width="27.44140625" style="103" customWidth="1"/>
    <col min="10" max="16384" width="8.88671875" style="103"/>
  </cols>
  <sheetData>
    <row r="1" spans="1:11" x14ac:dyDescent="0.2">
      <c r="A1" s="174" t="s">
        <v>496</v>
      </c>
      <c r="B1" s="132" t="s">
        <v>497</v>
      </c>
      <c r="C1" s="133">
        <v>1</v>
      </c>
      <c r="D1" s="133"/>
      <c r="E1" s="134">
        <v>1000000</v>
      </c>
      <c r="F1" s="135" t="s">
        <v>499</v>
      </c>
      <c r="G1" s="108"/>
      <c r="H1" s="108"/>
      <c r="I1" s="109"/>
    </row>
    <row r="2" spans="1:11" x14ac:dyDescent="0.2">
      <c r="A2" s="174" t="s">
        <v>498</v>
      </c>
      <c r="B2" s="132" t="s">
        <v>451</v>
      </c>
      <c r="C2" s="133">
        <v>2</v>
      </c>
      <c r="D2" s="133"/>
      <c r="E2" s="134">
        <v>1780000</v>
      </c>
      <c r="F2" s="135" t="s">
        <v>499</v>
      </c>
      <c r="G2" s="108"/>
      <c r="H2" s="108"/>
      <c r="I2" s="409"/>
      <c r="J2" s="108"/>
      <c r="K2" s="108"/>
    </row>
    <row r="3" spans="1:11" x14ac:dyDescent="0.2">
      <c r="A3" s="171" t="s">
        <v>504</v>
      </c>
      <c r="B3" s="132" t="s">
        <v>505</v>
      </c>
      <c r="C3" s="133">
        <v>1</v>
      </c>
      <c r="D3" s="133">
        <v>1</v>
      </c>
      <c r="E3" s="134"/>
      <c r="F3" s="135" t="s">
        <v>796</v>
      </c>
      <c r="G3" s="108"/>
      <c r="H3" s="108"/>
      <c r="I3" s="409"/>
      <c r="J3" s="108"/>
      <c r="K3" s="108"/>
    </row>
    <row r="4" spans="1:11" x14ac:dyDescent="0.2">
      <c r="A4" s="172" t="s">
        <v>42</v>
      </c>
      <c r="B4" s="136" t="s">
        <v>46</v>
      </c>
      <c r="C4" s="137">
        <v>1</v>
      </c>
      <c r="D4" s="137"/>
      <c r="E4" s="138">
        <v>1512000</v>
      </c>
      <c r="F4" s="139" t="s">
        <v>796</v>
      </c>
      <c r="G4" s="105"/>
      <c r="H4" s="106"/>
      <c r="I4" s="409"/>
      <c r="J4" s="108"/>
      <c r="K4" s="108"/>
    </row>
    <row r="5" spans="1:11" ht="20.399999999999999" x14ac:dyDescent="0.2">
      <c r="A5" s="173" t="s">
        <v>49</v>
      </c>
      <c r="B5" s="140" t="s">
        <v>50</v>
      </c>
      <c r="C5" s="141">
        <v>2</v>
      </c>
      <c r="D5" s="141"/>
      <c r="E5" s="142">
        <v>1570000</v>
      </c>
      <c r="F5" s="143" t="s">
        <v>796</v>
      </c>
      <c r="G5" s="218"/>
      <c r="H5" s="106"/>
      <c r="I5" s="409"/>
      <c r="J5" s="108"/>
      <c r="K5" s="108"/>
    </row>
    <row r="6" spans="1:11" x14ac:dyDescent="0.2">
      <c r="A6" s="170" t="s">
        <v>112</v>
      </c>
      <c r="B6" s="132" t="s">
        <v>44</v>
      </c>
      <c r="C6" s="133">
        <v>2</v>
      </c>
      <c r="D6" s="133"/>
      <c r="E6" s="134">
        <v>1886000</v>
      </c>
      <c r="F6" s="135" t="s">
        <v>374</v>
      </c>
      <c r="G6" s="113" t="s">
        <v>1159</v>
      </c>
      <c r="H6" s="106">
        <v>4</v>
      </c>
      <c r="I6" s="409"/>
      <c r="J6" s="108"/>
      <c r="K6" s="108"/>
    </row>
    <row r="7" spans="1:11" x14ac:dyDescent="0.2">
      <c r="A7" s="170" t="s">
        <v>112</v>
      </c>
      <c r="B7" s="132" t="s">
        <v>45</v>
      </c>
      <c r="C7" s="133">
        <v>2</v>
      </c>
      <c r="D7" s="133"/>
      <c r="E7" s="134">
        <v>1620000</v>
      </c>
      <c r="F7" s="135" t="s">
        <v>375</v>
      </c>
      <c r="G7" s="113" t="s">
        <v>1160</v>
      </c>
      <c r="H7" s="221">
        <v>4</v>
      </c>
      <c r="I7" s="409"/>
      <c r="J7" s="108"/>
      <c r="K7" s="108"/>
    </row>
    <row r="8" spans="1:11" x14ac:dyDescent="0.2">
      <c r="A8" s="170" t="s">
        <v>310</v>
      </c>
      <c r="B8" s="144" t="s">
        <v>493</v>
      </c>
      <c r="C8" s="133">
        <v>3</v>
      </c>
      <c r="D8" s="133"/>
      <c r="E8" s="134">
        <v>4044233</v>
      </c>
      <c r="F8" s="135" t="s">
        <v>501</v>
      </c>
      <c r="G8" s="106" t="s">
        <v>1162</v>
      </c>
      <c r="H8" s="106">
        <v>8</v>
      </c>
      <c r="I8" s="110"/>
      <c r="J8" s="108"/>
      <c r="K8" s="108"/>
    </row>
    <row r="9" spans="1:11" x14ac:dyDescent="0.2">
      <c r="A9" s="427" t="s">
        <v>490</v>
      </c>
      <c r="B9" s="106" t="s">
        <v>491</v>
      </c>
      <c r="C9" s="105">
        <v>2</v>
      </c>
      <c r="D9" s="105"/>
      <c r="E9" s="112">
        <v>6686000</v>
      </c>
      <c r="F9" s="428" t="s">
        <v>494</v>
      </c>
      <c r="G9" s="106" t="s">
        <v>1161</v>
      </c>
      <c r="H9" s="106">
        <v>4</v>
      </c>
      <c r="I9" s="409"/>
      <c r="J9" s="108"/>
      <c r="K9" s="108"/>
    </row>
    <row r="10" spans="1:11" x14ac:dyDescent="0.2">
      <c r="A10" s="427"/>
      <c r="B10" s="106" t="s">
        <v>492</v>
      </c>
      <c r="C10" s="105"/>
      <c r="D10" s="105">
        <v>2</v>
      </c>
      <c r="E10" s="112">
        <v>4145856</v>
      </c>
      <c r="F10" s="428"/>
      <c r="G10" s="106" t="s">
        <v>1164</v>
      </c>
      <c r="H10" s="106">
        <v>2</v>
      </c>
      <c r="I10" s="409"/>
      <c r="J10" s="108"/>
      <c r="K10" s="108"/>
    </row>
    <row r="11" spans="1:11" x14ac:dyDescent="0.2">
      <c r="A11" s="169" t="s">
        <v>495</v>
      </c>
      <c r="B11" s="106" t="s">
        <v>393</v>
      </c>
      <c r="C11" s="107">
        <v>2</v>
      </c>
      <c r="D11" s="107"/>
      <c r="E11" s="112">
        <v>1640000</v>
      </c>
      <c r="F11" s="219" t="s">
        <v>502</v>
      </c>
      <c r="G11" s="106" t="s">
        <v>1158</v>
      </c>
      <c r="H11" s="106">
        <v>3</v>
      </c>
      <c r="I11" s="409"/>
      <c r="J11" s="108"/>
      <c r="K11" s="108"/>
    </row>
    <row r="12" spans="1:11" x14ac:dyDescent="0.2">
      <c r="A12" s="169" t="s">
        <v>500</v>
      </c>
      <c r="B12" s="132" t="s">
        <v>426</v>
      </c>
      <c r="C12" s="145">
        <v>2</v>
      </c>
      <c r="D12" s="145"/>
      <c r="E12" s="134">
        <v>2200000</v>
      </c>
      <c r="F12" s="135" t="s">
        <v>502</v>
      </c>
      <c r="G12" s="106" t="s">
        <v>1163</v>
      </c>
      <c r="H12" s="106">
        <v>6</v>
      </c>
      <c r="I12" s="409"/>
      <c r="J12" s="108"/>
      <c r="K12" s="108"/>
    </row>
    <row r="13" spans="1:11" x14ac:dyDescent="0.2">
      <c r="A13" s="169" t="s">
        <v>527</v>
      </c>
      <c r="B13" s="106" t="s">
        <v>355</v>
      </c>
      <c r="C13" s="105">
        <v>3</v>
      </c>
      <c r="D13" s="106"/>
      <c r="E13" s="104">
        <v>5028972</v>
      </c>
      <c r="F13" s="219" t="s">
        <v>528</v>
      </c>
      <c r="G13" s="106" t="s">
        <v>355</v>
      </c>
      <c r="H13" s="106">
        <v>11</v>
      </c>
      <c r="I13" s="176"/>
      <c r="J13" s="108"/>
      <c r="K13" s="108"/>
    </row>
    <row r="14" spans="1:11" x14ac:dyDescent="0.2">
      <c r="A14" s="166" t="s">
        <v>795</v>
      </c>
      <c r="B14" s="153" t="s">
        <v>676</v>
      </c>
      <c r="C14" s="154">
        <v>3</v>
      </c>
      <c r="D14" s="153"/>
      <c r="E14" s="155">
        <v>3910000</v>
      </c>
      <c r="F14" s="220">
        <v>2776000</v>
      </c>
      <c r="G14" s="106" t="s">
        <v>1165</v>
      </c>
      <c r="H14" s="106">
        <v>1</v>
      </c>
      <c r="I14" s="409"/>
      <c r="J14" s="108"/>
      <c r="K14" s="108"/>
    </row>
    <row r="15" spans="1:11" x14ac:dyDescent="0.2">
      <c r="A15" s="167" t="s">
        <v>618</v>
      </c>
      <c r="B15" s="106" t="s">
        <v>232</v>
      </c>
      <c r="C15" s="105">
        <v>2</v>
      </c>
      <c r="D15" s="106"/>
      <c r="E15" s="112">
        <v>3090000</v>
      </c>
      <c r="F15" s="219"/>
      <c r="G15" s="106" t="s">
        <v>821</v>
      </c>
      <c r="H15" s="106">
        <v>2</v>
      </c>
      <c r="I15" s="409"/>
      <c r="J15" s="108"/>
      <c r="K15" s="108"/>
    </row>
    <row r="16" spans="1:11" x14ac:dyDescent="0.2">
      <c r="A16" s="167" t="s">
        <v>490</v>
      </c>
      <c r="B16" s="106" t="s">
        <v>619</v>
      </c>
      <c r="C16" s="106"/>
      <c r="D16" s="105">
        <v>1</v>
      </c>
      <c r="E16" s="104">
        <v>2911000</v>
      </c>
      <c r="F16" s="219"/>
      <c r="G16" s="106" t="s">
        <v>1166</v>
      </c>
      <c r="H16" s="106">
        <v>3</v>
      </c>
      <c r="I16" s="124"/>
      <c r="J16" s="108"/>
      <c r="K16" s="108"/>
    </row>
    <row r="17" spans="1:11" x14ac:dyDescent="0.2">
      <c r="A17" s="168" t="s">
        <v>648</v>
      </c>
      <c r="B17" s="123" t="s">
        <v>649</v>
      </c>
      <c r="C17" s="105">
        <v>1</v>
      </c>
      <c r="D17" s="105">
        <v>1</v>
      </c>
      <c r="E17" s="112">
        <v>1364020</v>
      </c>
      <c r="F17" s="219"/>
      <c r="G17" s="106" t="s">
        <v>1157</v>
      </c>
      <c r="H17" s="106">
        <v>4</v>
      </c>
      <c r="I17" s="409"/>
      <c r="J17" s="108"/>
      <c r="K17" s="108"/>
    </row>
    <row r="18" spans="1:11" x14ac:dyDescent="0.2">
      <c r="A18" s="167" t="s">
        <v>100</v>
      </c>
      <c r="B18" s="106" t="s">
        <v>677</v>
      </c>
      <c r="C18" s="105">
        <v>3</v>
      </c>
      <c r="D18" s="106"/>
      <c r="E18" s="131">
        <v>2282062</v>
      </c>
      <c r="F18" s="219" t="s">
        <v>794</v>
      </c>
      <c r="G18" s="222"/>
      <c r="H18" s="222">
        <f>SUM(H6:H17)</f>
        <v>52</v>
      </c>
      <c r="I18" s="409"/>
      <c r="J18" s="108"/>
      <c r="K18" s="108"/>
    </row>
    <row r="19" spans="1:11" x14ac:dyDescent="0.2">
      <c r="A19" s="179" t="s">
        <v>791</v>
      </c>
      <c r="B19" s="180" t="s">
        <v>746</v>
      </c>
      <c r="C19" s="181">
        <v>3</v>
      </c>
      <c r="D19" s="180"/>
      <c r="E19" s="182">
        <v>7578000</v>
      </c>
      <c r="F19" s="180" t="s">
        <v>827</v>
      </c>
      <c r="H19" s="108"/>
      <c r="I19" s="409"/>
      <c r="J19" s="108"/>
      <c r="K19" s="108"/>
    </row>
    <row r="20" spans="1:11" x14ac:dyDescent="0.2">
      <c r="A20" s="179" t="s">
        <v>765</v>
      </c>
      <c r="B20" s="180" t="s">
        <v>792</v>
      </c>
      <c r="C20" s="181">
        <v>2</v>
      </c>
      <c r="D20" s="180"/>
      <c r="E20" s="182">
        <v>3631000</v>
      </c>
      <c r="F20" s="180" t="s">
        <v>780</v>
      </c>
      <c r="H20" s="108"/>
      <c r="I20" s="409"/>
      <c r="J20" s="108"/>
      <c r="K20" s="108"/>
    </row>
    <row r="21" spans="1:11" x14ac:dyDescent="0.2">
      <c r="A21" s="179" t="s">
        <v>793</v>
      </c>
      <c r="B21" s="180" t="s">
        <v>230</v>
      </c>
      <c r="C21" s="181">
        <v>3</v>
      </c>
      <c r="D21" s="180"/>
      <c r="E21" s="182">
        <v>1920000</v>
      </c>
      <c r="F21" s="180" t="s">
        <v>780</v>
      </c>
      <c r="G21" s="175"/>
      <c r="H21" s="108"/>
      <c r="I21" s="409"/>
      <c r="J21" s="108"/>
      <c r="K21" s="108"/>
    </row>
    <row r="22" spans="1:11" x14ac:dyDescent="0.2">
      <c r="A22" s="179" t="s">
        <v>793</v>
      </c>
      <c r="B22" s="180" t="s">
        <v>811</v>
      </c>
      <c r="C22" s="180"/>
      <c r="D22" s="181">
        <v>3</v>
      </c>
      <c r="E22" s="182">
        <v>2810421.6</v>
      </c>
      <c r="F22" s="180" t="s">
        <v>780</v>
      </c>
      <c r="H22" s="108"/>
      <c r="I22" s="409"/>
      <c r="J22" s="108"/>
      <c r="K22" s="108"/>
    </row>
    <row r="23" spans="1:11" x14ac:dyDescent="0.2">
      <c r="A23" s="178" t="s">
        <v>112</v>
      </c>
      <c r="B23" s="113" t="s">
        <v>503</v>
      </c>
      <c r="C23" s="105">
        <v>3</v>
      </c>
      <c r="D23" s="105"/>
      <c r="E23" s="131">
        <v>5595485</v>
      </c>
      <c r="F23" s="183" t="s">
        <v>851</v>
      </c>
      <c r="H23" s="108"/>
      <c r="I23" s="409"/>
      <c r="J23" s="108"/>
      <c r="K23" s="108"/>
    </row>
    <row r="24" spans="1:11" x14ac:dyDescent="0.2">
      <c r="A24" s="106" t="s">
        <v>852</v>
      </c>
      <c r="B24" s="106" t="s">
        <v>840</v>
      </c>
      <c r="C24" s="107">
        <v>2</v>
      </c>
      <c r="D24" s="106"/>
      <c r="E24" s="112">
        <v>2260000</v>
      </c>
      <c r="F24" s="183" t="s">
        <v>851</v>
      </c>
      <c r="G24" s="175"/>
      <c r="H24" s="108"/>
      <c r="I24" s="409"/>
      <c r="J24" s="108"/>
      <c r="K24" s="108"/>
    </row>
    <row r="25" spans="1:11" x14ac:dyDescent="0.2">
      <c r="A25" s="106" t="s">
        <v>852</v>
      </c>
      <c r="B25" s="106" t="s">
        <v>355</v>
      </c>
      <c r="C25" s="107">
        <v>2</v>
      </c>
      <c r="D25" s="106"/>
      <c r="E25" s="131">
        <v>3354000</v>
      </c>
      <c r="F25" s="183" t="s">
        <v>851</v>
      </c>
      <c r="H25" s="108"/>
      <c r="I25" s="409"/>
      <c r="J25" s="108"/>
      <c r="K25" s="108"/>
    </row>
    <row r="26" spans="1:11" x14ac:dyDescent="0.2">
      <c r="A26" s="106" t="s">
        <v>1150</v>
      </c>
      <c r="B26" s="106" t="s">
        <v>355</v>
      </c>
      <c r="C26" s="105">
        <v>2</v>
      </c>
      <c r="D26" s="106"/>
      <c r="E26" s="104">
        <v>3580000</v>
      </c>
      <c r="F26" s="151" t="s">
        <v>842</v>
      </c>
      <c r="H26" s="108"/>
      <c r="I26" s="409"/>
      <c r="J26" s="108"/>
      <c r="K26" s="108"/>
    </row>
    <row r="27" spans="1:11" x14ac:dyDescent="0.2">
      <c r="A27" s="106" t="s">
        <v>1151</v>
      </c>
      <c r="B27" s="106"/>
      <c r="C27" s="106"/>
      <c r="D27" s="106"/>
      <c r="E27" s="216"/>
      <c r="F27" s="217" t="s">
        <v>1156</v>
      </c>
      <c r="H27" s="108"/>
      <c r="I27" s="111"/>
      <c r="J27" s="108"/>
      <c r="K27" s="108"/>
    </row>
    <row r="28" spans="1:11" x14ac:dyDescent="0.2">
      <c r="A28" s="106" t="s">
        <v>1152</v>
      </c>
      <c r="B28" s="106" t="s">
        <v>1153</v>
      </c>
      <c r="C28" s="105">
        <v>1</v>
      </c>
      <c r="D28" s="106">
        <v>1</v>
      </c>
      <c r="E28" s="106">
        <v>5774500</v>
      </c>
      <c r="F28" s="217" t="s">
        <v>842</v>
      </c>
      <c r="G28" s="175"/>
      <c r="H28" s="108"/>
      <c r="I28" s="108"/>
      <c r="J28" s="108"/>
      <c r="K28" s="108"/>
    </row>
    <row r="29" spans="1:11" x14ac:dyDescent="0.2">
      <c r="A29" s="106" t="s">
        <v>1154</v>
      </c>
      <c r="B29" s="106" t="s">
        <v>1155</v>
      </c>
      <c r="C29" s="105">
        <v>1</v>
      </c>
      <c r="D29" s="106"/>
      <c r="E29" s="106"/>
      <c r="F29" s="217" t="s">
        <v>1156</v>
      </c>
    </row>
    <row r="30" spans="1:11" x14ac:dyDescent="0.2">
      <c r="A30" s="106" t="s">
        <v>1167</v>
      </c>
      <c r="B30" s="106" t="s">
        <v>491</v>
      </c>
      <c r="C30" s="105">
        <v>2</v>
      </c>
      <c r="D30" s="106"/>
      <c r="E30" s="106"/>
      <c r="F30" s="217"/>
    </row>
    <row r="31" spans="1:11" ht="10.8" thickBot="1" x14ac:dyDescent="0.25">
      <c r="A31" s="307" t="s">
        <v>1168</v>
      </c>
      <c r="B31" s="307" t="s">
        <v>230</v>
      </c>
      <c r="C31" s="310">
        <v>2</v>
      </c>
      <c r="D31" s="307"/>
      <c r="E31" s="307"/>
      <c r="F31" s="307" t="s">
        <v>2265</v>
      </c>
    </row>
    <row r="32" spans="1:11" ht="10.8" thickBot="1" x14ac:dyDescent="0.25">
      <c r="A32" s="429">
        <v>2025</v>
      </c>
      <c r="B32" s="430"/>
      <c r="C32" s="430"/>
      <c r="D32" s="430"/>
      <c r="E32" s="430"/>
      <c r="F32" s="431"/>
    </row>
    <row r="33" spans="1:8" x14ac:dyDescent="0.2">
      <c r="A33" s="311" t="s">
        <v>112</v>
      </c>
      <c r="B33" s="311" t="s">
        <v>1438</v>
      </c>
      <c r="C33" s="311">
        <v>3</v>
      </c>
      <c r="D33" s="311" t="s">
        <v>95</v>
      </c>
      <c r="E33" s="311"/>
      <c r="F33" s="311" t="s">
        <v>499</v>
      </c>
    </row>
    <row r="34" spans="1:8" x14ac:dyDescent="0.2">
      <c r="A34" s="106" t="s">
        <v>1439</v>
      </c>
      <c r="B34" s="106" t="s">
        <v>230</v>
      </c>
      <c r="C34" s="106">
        <v>2</v>
      </c>
      <c r="D34" s="106">
        <v>2</v>
      </c>
      <c r="E34" s="216">
        <v>973000</v>
      </c>
      <c r="F34" s="106" t="s">
        <v>796</v>
      </c>
    </row>
    <row r="35" spans="1:8" x14ac:dyDescent="0.2">
      <c r="A35" s="106" t="s">
        <v>1440</v>
      </c>
      <c r="B35" s="106" t="s">
        <v>1441</v>
      </c>
      <c r="C35" s="106">
        <v>2</v>
      </c>
      <c r="D35" s="106"/>
      <c r="E35" s="216">
        <v>1194000</v>
      </c>
      <c r="F35" s="106" t="s">
        <v>796</v>
      </c>
    </row>
    <row r="36" spans="1:8" x14ac:dyDescent="0.2">
      <c r="A36" s="106" t="s">
        <v>1150</v>
      </c>
      <c r="B36" s="106" t="s">
        <v>355</v>
      </c>
      <c r="C36" s="106">
        <v>2</v>
      </c>
      <c r="D36" s="106"/>
      <c r="E36" s="216">
        <v>3583500</v>
      </c>
      <c r="F36" s="106" t="s">
        <v>796</v>
      </c>
    </row>
    <row r="37" spans="1:8" x14ac:dyDescent="0.2">
      <c r="A37" s="106" t="s">
        <v>1571</v>
      </c>
      <c r="B37" s="106"/>
      <c r="C37" s="106">
        <v>2</v>
      </c>
      <c r="D37" s="106"/>
      <c r="E37" s="258">
        <v>21650</v>
      </c>
      <c r="F37" s="106" t="s">
        <v>796</v>
      </c>
    </row>
    <row r="38" spans="1:8" x14ac:dyDescent="0.2">
      <c r="A38" s="425" t="s">
        <v>1610</v>
      </c>
      <c r="B38" s="106" t="s">
        <v>451</v>
      </c>
      <c r="C38" s="106">
        <v>6</v>
      </c>
      <c r="D38" s="106">
        <v>6</v>
      </c>
      <c r="E38" s="216">
        <v>4516200</v>
      </c>
      <c r="F38" s="216" t="s">
        <v>1612</v>
      </c>
      <c r="G38" s="175">
        <v>2739600</v>
      </c>
      <c r="H38" s="103">
        <v>39729</v>
      </c>
    </row>
    <row r="39" spans="1:8" x14ac:dyDescent="0.2">
      <c r="A39" s="426"/>
      <c r="B39" s="106" t="s">
        <v>1611</v>
      </c>
      <c r="C39" s="106"/>
      <c r="D39" s="106"/>
      <c r="E39" s="216">
        <v>690000</v>
      </c>
      <c r="F39" s="106" t="s">
        <v>1612</v>
      </c>
      <c r="H39" s="259">
        <v>39729</v>
      </c>
    </row>
    <row r="40" spans="1:8" x14ac:dyDescent="0.2">
      <c r="A40" s="106" t="s">
        <v>1637</v>
      </c>
      <c r="B40" s="106" t="s">
        <v>393</v>
      </c>
      <c r="C40" s="106">
        <v>1</v>
      </c>
      <c r="D40" s="106"/>
      <c r="E40" s="216">
        <v>912000</v>
      </c>
      <c r="F40" s="106" t="s">
        <v>502</v>
      </c>
      <c r="H40" s="259">
        <v>9120</v>
      </c>
    </row>
    <row r="41" spans="1:8" x14ac:dyDescent="0.2">
      <c r="A41" s="106" t="s">
        <v>1400</v>
      </c>
      <c r="B41" s="106" t="s">
        <v>1317</v>
      </c>
      <c r="C41" s="106">
        <v>2</v>
      </c>
      <c r="D41" s="106"/>
      <c r="E41" s="280">
        <v>1428000</v>
      </c>
      <c r="F41" s="106" t="s">
        <v>502</v>
      </c>
      <c r="H41" s="259">
        <v>15000</v>
      </c>
    </row>
    <row r="42" spans="1:8" x14ac:dyDescent="0.2">
      <c r="A42" s="106" t="s">
        <v>1733</v>
      </c>
      <c r="B42" s="106" t="s">
        <v>1734</v>
      </c>
      <c r="C42" s="106">
        <v>2</v>
      </c>
      <c r="D42" s="106"/>
      <c r="E42" s="106"/>
      <c r="F42" s="106" t="s">
        <v>502</v>
      </c>
      <c r="H42" s="259">
        <v>20000</v>
      </c>
    </row>
    <row r="43" spans="1:8" x14ac:dyDescent="0.2">
      <c r="A43" s="106" t="s">
        <v>1784</v>
      </c>
      <c r="B43" s="106" t="s">
        <v>1785</v>
      </c>
      <c r="C43" s="106">
        <v>1</v>
      </c>
      <c r="D43" s="106"/>
      <c r="E43" s="280">
        <v>7345000</v>
      </c>
      <c r="F43" s="106" t="s">
        <v>502</v>
      </c>
    </row>
    <row r="44" spans="1:8" x14ac:dyDescent="0.2">
      <c r="A44" s="106" t="s">
        <v>112</v>
      </c>
      <c r="B44" s="106" t="s">
        <v>923</v>
      </c>
      <c r="C44" s="106">
        <v>2</v>
      </c>
      <c r="D44" s="106"/>
      <c r="E44" s="217">
        <v>1956000</v>
      </c>
      <c r="F44" s="106" t="s">
        <v>1874</v>
      </c>
    </row>
    <row r="45" spans="1:8" x14ac:dyDescent="0.2">
      <c r="A45" s="106" t="s">
        <v>1875</v>
      </c>
      <c r="B45" s="106" t="s">
        <v>923</v>
      </c>
      <c r="C45" s="106">
        <v>2</v>
      </c>
      <c r="D45" s="106"/>
      <c r="E45" s="217">
        <v>2036600</v>
      </c>
      <c r="F45" s="106" t="s">
        <v>1874</v>
      </c>
    </row>
    <row r="46" spans="1:8" x14ac:dyDescent="0.2">
      <c r="A46" s="106" t="s">
        <v>1876</v>
      </c>
      <c r="B46" s="106" t="s">
        <v>426</v>
      </c>
      <c r="C46" s="106">
        <v>1</v>
      </c>
      <c r="D46" s="106">
        <v>1</v>
      </c>
      <c r="E46" s="217">
        <v>2121500</v>
      </c>
      <c r="F46" s="106" t="s">
        <v>1874</v>
      </c>
    </row>
    <row r="47" spans="1:8" x14ac:dyDescent="0.2">
      <c r="A47" s="106" t="s">
        <v>1877</v>
      </c>
      <c r="B47" s="106" t="s">
        <v>417</v>
      </c>
      <c r="C47" s="106">
        <v>1</v>
      </c>
      <c r="D47" s="106"/>
      <c r="E47" s="217">
        <v>359200</v>
      </c>
      <c r="F47" s="106" t="s">
        <v>1874</v>
      </c>
    </row>
    <row r="48" spans="1:8" x14ac:dyDescent="0.2">
      <c r="A48" s="106" t="s">
        <v>1853</v>
      </c>
      <c r="B48" s="106" t="s">
        <v>232</v>
      </c>
      <c r="C48" s="106">
        <v>1</v>
      </c>
      <c r="D48" s="106">
        <v>1</v>
      </c>
      <c r="E48" s="106"/>
      <c r="F48" s="106"/>
    </row>
    <row r="49" spans="1:6" x14ac:dyDescent="0.2">
      <c r="A49" s="106" t="s">
        <v>2239</v>
      </c>
      <c r="B49" s="106" t="s">
        <v>360</v>
      </c>
      <c r="C49" s="106">
        <v>1</v>
      </c>
      <c r="D49" s="106">
        <v>1</v>
      </c>
      <c r="E49" s="106"/>
      <c r="F49" s="106"/>
    </row>
    <row r="50" spans="1:6" x14ac:dyDescent="0.2">
      <c r="A50" s="106" t="s">
        <v>2240</v>
      </c>
      <c r="B50" s="106" t="s">
        <v>393</v>
      </c>
      <c r="C50" s="106">
        <v>1</v>
      </c>
      <c r="D50" s="106"/>
      <c r="E50" s="106"/>
      <c r="F50" s="106"/>
    </row>
    <row r="51" spans="1:6" x14ac:dyDescent="0.2">
      <c r="A51" s="106" t="s">
        <v>2241</v>
      </c>
      <c r="B51" s="106" t="s">
        <v>840</v>
      </c>
      <c r="C51" s="106">
        <v>1</v>
      </c>
      <c r="D51" s="106">
        <v>1</v>
      </c>
      <c r="E51" s="106"/>
      <c r="F51" s="106"/>
    </row>
    <row r="52" spans="1:6" x14ac:dyDescent="0.2">
      <c r="A52" s="106" t="s">
        <v>2242</v>
      </c>
      <c r="B52" s="106" t="s">
        <v>360</v>
      </c>
      <c r="C52" s="106">
        <v>2</v>
      </c>
      <c r="D52" s="106"/>
      <c r="E52" s="106"/>
      <c r="F52" s="106"/>
    </row>
    <row r="53" spans="1:6" x14ac:dyDescent="0.2">
      <c r="A53" s="106" t="s">
        <v>100</v>
      </c>
      <c r="B53" s="106" t="s">
        <v>355</v>
      </c>
      <c r="C53" s="106">
        <v>4</v>
      </c>
      <c r="D53" s="106"/>
      <c r="E53" s="106"/>
      <c r="F53" s="106"/>
    </row>
    <row r="54" spans="1:6" x14ac:dyDescent="0.2">
      <c r="A54" s="106" t="s">
        <v>2243</v>
      </c>
      <c r="B54" s="106" t="s">
        <v>393</v>
      </c>
      <c r="C54" s="106">
        <v>3</v>
      </c>
      <c r="D54" s="106"/>
      <c r="E54" s="106"/>
      <c r="F54" s="106"/>
    </row>
    <row r="55" spans="1:6" x14ac:dyDescent="0.2">
      <c r="A55" s="106"/>
      <c r="B55" s="106" t="s">
        <v>230</v>
      </c>
      <c r="C55" s="106">
        <v>5</v>
      </c>
      <c r="D55" s="106"/>
      <c r="E55" s="106"/>
      <c r="F55" s="106"/>
    </row>
    <row r="56" spans="1:6" x14ac:dyDescent="0.2">
      <c r="A56" s="106"/>
      <c r="B56" s="106" t="s">
        <v>2244</v>
      </c>
      <c r="C56" s="106">
        <v>2</v>
      </c>
      <c r="D56" s="106"/>
      <c r="E56" s="106"/>
      <c r="F56" s="106"/>
    </row>
    <row r="57" spans="1:6" x14ac:dyDescent="0.2">
      <c r="A57" s="106" t="s">
        <v>2245</v>
      </c>
      <c r="B57" s="106" t="s">
        <v>451</v>
      </c>
      <c r="C57" s="106">
        <v>3</v>
      </c>
      <c r="D57" s="106"/>
      <c r="E57" s="106"/>
      <c r="F57" s="106"/>
    </row>
    <row r="58" spans="1:6" x14ac:dyDescent="0.2">
      <c r="A58" s="106" t="s">
        <v>2246</v>
      </c>
      <c r="B58" s="106" t="s">
        <v>821</v>
      </c>
      <c r="C58" s="106">
        <v>1</v>
      </c>
      <c r="D58" s="106">
        <v>1</v>
      </c>
      <c r="E58" s="106"/>
      <c r="F58" s="106"/>
    </row>
    <row r="59" spans="1:6" ht="10.8" thickBot="1" x14ac:dyDescent="0.25">
      <c r="A59" s="106" t="s">
        <v>2247</v>
      </c>
      <c r="B59" s="106" t="s">
        <v>451</v>
      </c>
      <c r="C59" s="307">
        <v>1</v>
      </c>
      <c r="D59" s="307">
        <v>1</v>
      </c>
      <c r="E59" s="106"/>
      <c r="F59" s="106"/>
    </row>
    <row r="60" spans="1:6" ht="10.8" thickBot="1" x14ac:dyDescent="0.25">
      <c r="C60" s="308">
        <v>54</v>
      </c>
      <c r="D60" s="309">
        <v>14</v>
      </c>
    </row>
  </sheetData>
  <mergeCells count="15">
    <mergeCell ref="A38:A39"/>
    <mergeCell ref="I11:I12"/>
    <mergeCell ref="A9:A10"/>
    <mergeCell ref="F9:F10"/>
    <mergeCell ref="I2:I3"/>
    <mergeCell ref="I4:I5"/>
    <mergeCell ref="I6:I7"/>
    <mergeCell ref="I9:I10"/>
    <mergeCell ref="A32:F32"/>
    <mergeCell ref="I25:I26"/>
    <mergeCell ref="I14:I15"/>
    <mergeCell ref="I17:I18"/>
    <mergeCell ref="I19:I20"/>
    <mergeCell ref="I21:I22"/>
    <mergeCell ref="I23:I24"/>
  </mergeCells>
  <pageMargins left="0.7" right="0.7" top="0.75" bottom="0.75" header="0.3" footer="0.3"/>
  <pageSetup paperSize="9" scale="74" fitToWidth="0"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DF6CB-145D-4D64-896B-3FC41F525494}">
  <dimension ref="B2:C23"/>
  <sheetViews>
    <sheetView workbookViewId="0">
      <selection activeCell="B27" sqref="B27"/>
    </sheetView>
  </sheetViews>
  <sheetFormatPr defaultRowHeight="14.4" x14ac:dyDescent="0.3"/>
  <cols>
    <col min="1" max="1" width="4.6640625" customWidth="1"/>
    <col min="2" max="2" width="27.33203125" customWidth="1"/>
    <col min="3" max="3" width="15.33203125" customWidth="1"/>
  </cols>
  <sheetData>
    <row r="2" spans="2:3" x14ac:dyDescent="0.3">
      <c r="B2" s="247" t="s">
        <v>1584</v>
      </c>
      <c r="C2" s="247" t="s">
        <v>1599</v>
      </c>
    </row>
    <row r="3" spans="2:3" x14ac:dyDescent="0.3">
      <c r="B3" s="235" t="s">
        <v>1600</v>
      </c>
      <c r="C3" s="235">
        <v>9</v>
      </c>
    </row>
    <row r="4" spans="2:3" x14ac:dyDescent="0.3">
      <c r="B4" s="235" t="s">
        <v>1601</v>
      </c>
      <c r="C4" s="235">
        <v>15</v>
      </c>
    </row>
    <row r="5" spans="2:3" x14ac:dyDescent="0.3">
      <c r="B5" s="235" t="s">
        <v>1602</v>
      </c>
      <c r="C5" s="235">
        <v>8</v>
      </c>
    </row>
    <row r="6" spans="2:3" x14ac:dyDescent="0.3">
      <c r="B6" s="235" t="s">
        <v>1603</v>
      </c>
      <c r="C6" s="235">
        <v>13</v>
      </c>
    </row>
    <row r="7" spans="2:3" x14ac:dyDescent="0.3">
      <c r="B7" s="235" t="s">
        <v>1604</v>
      </c>
      <c r="C7" s="235">
        <v>6</v>
      </c>
    </row>
    <row r="8" spans="2:3" x14ac:dyDescent="0.3">
      <c r="B8" s="235" t="s">
        <v>1605</v>
      </c>
      <c r="C8" s="235">
        <v>4</v>
      </c>
    </row>
    <row r="12" spans="2:3" x14ac:dyDescent="0.3">
      <c r="B12" s="251" t="s">
        <v>1591</v>
      </c>
    </row>
    <row r="13" spans="2:3" x14ac:dyDescent="0.3">
      <c r="B13" s="251" t="s">
        <v>1592</v>
      </c>
    </row>
    <row r="14" spans="2:3" x14ac:dyDescent="0.3">
      <c r="B14" t="s">
        <v>1593</v>
      </c>
    </row>
    <row r="15" spans="2:3" x14ac:dyDescent="0.3">
      <c r="B15" s="251" t="s">
        <v>1594</v>
      </c>
    </row>
    <row r="16" spans="2:3" x14ac:dyDescent="0.3">
      <c r="B16" t="s">
        <v>1595</v>
      </c>
    </row>
    <row r="17" spans="2:3" x14ac:dyDescent="0.3">
      <c r="B17" s="251" t="s">
        <v>1619</v>
      </c>
    </row>
    <row r="18" spans="2:3" x14ac:dyDescent="0.3">
      <c r="B18" t="s">
        <v>1596</v>
      </c>
      <c r="C18" t="s">
        <v>1597</v>
      </c>
    </row>
    <row r="19" spans="2:3" x14ac:dyDescent="0.3">
      <c r="B19" s="251" t="s">
        <v>1620</v>
      </c>
      <c r="C19" t="s">
        <v>1621</v>
      </c>
    </row>
    <row r="23" spans="2:3" x14ac:dyDescent="0.3">
      <c r="B23" t="s">
        <v>1648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B2A93-32B3-4312-91CC-2D7551E5DDDD}">
  <dimension ref="A1:D49"/>
  <sheetViews>
    <sheetView topLeftCell="A25" workbookViewId="0">
      <selection activeCell="D24" sqref="D24"/>
    </sheetView>
  </sheetViews>
  <sheetFormatPr defaultColWidth="8.88671875" defaultRowHeight="13.8" x14ac:dyDescent="0.25"/>
  <cols>
    <col min="1" max="1" width="5" style="1" customWidth="1"/>
    <col min="2" max="2" width="46.33203125" style="1" customWidth="1"/>
    <col min="3" max="16384" width="8.88671875" style="1"/>
  </cols>
  <sheetData>
    <row r="1" spans="1:4" x14ac:dyDescent="0.25">
      <c r="B1" s="286">
        <v>2024</v>
      </c>
    </row>
    <row r="2" spans="1:4" x14ac:dyDescent="0.25">
      <c r="A2" s="1">
        <v>1</v>
      </c>
      <c r="B2" s="1" t="s">
        <v>20</v>
      </c>
      <c r="D2" s="1" t="s">
        <v>1892</v>
      </c>
    </row>
    <row r="3" spans="1:4" x14ac:dyDescent="0.25">
      <c r="A3" s="1">
        <f>A2+1</f>
        <v>2</v>
      </c>
      <c r="B3" s="1" t="s">
        <v>68</v>
      </c>
      <c r="D3" s="1" t="s">
        <v>1893</v>
      </c>
    </row>
    <row r="4" spans="1:4" x14ac:dyDescent="0.25">
      <c r="A4" s="1">
        <f t="shared" ref="A4:A25" si="0">A3+1</f>
        <v>3</v>
      </c>
      <c r="B4" s="1" t="s">
        <v>104</v>
      </c>
    </row>
    <row r="5" spans="1:4" x14ac:dyDescent="0.25">
      <c r="A5" s="1">
        <f t="shared" si="0"/>
        <v>4</v>
      </c>
      <c r="B5" s="1" t="s">
        <v>139</v>
      </c>
      <c r="D5" s="1" t="s">
        <v>1894</v>
      </c>
    </row>
    <row r="6" spans="1:4" x14ac:dyDescent="0.25">
      <c r="A6" s="1">
        <f t="shared" si="0"/>
        <v>5</v>
      </c>
      <c r="B6" s="1" t="s">
        <v>185</v>
      </c>
      <c r="D6" s="1" t="s">
        <v>1895</v>
      </c>
    </row>
    <row r="7" spans="1:4" x14ac:dyDescent="0.25">
      <c r="A7" s="1">
        <f t="shared" si="0"/>
        <v>6</v>
      </c>
      <c r="B7" s="1" t="s">
        <v>188</v>
      </c>
      <c r="D7" s="1" t="s">
        <v>1896</v>
      </c>
    </row>
    <row r="8" spans="1:4" x14ac:dyDescent="0.25">
      <c r="A8" s="1">
        <f t="shared" si="0"/>
        <v>7</v>
      </c>
      <c r="B8" s="1" t="s">
        <v>193</v>
      </c>
      <c r="D8" s="1" t="s">
        <v>1901</v>
      </c>
    </row>
    <row r="9" spans="1:4" x14ac:dyDescent="0.25">
      <c r="A9" s="1">
        <f t="shared" si="0"/>
        <v>8</v>
      </c>
      <c r="B9" s="1" t="s">
        <v>461</v>
      </c>
      <c r="D9" s="1" t="s">
        <v>1928</v>
      </c>
    </row>
    <row r="10" spans="1:4" x14ac:dyDescent="0.25">
      <c r="A10" s="1">
        <f t="shared" si="0"/>
        <v>9</v>
      </c>
      <c r="B10" s="1" t="s">
        <v>1860</v>
      </c>
    </row>
    <row r="11" spans="1:4" x14ac:dyDescent="0.25">
      <c r="A11" s="1">
        <f t="shared" si="0"/>
        <v>10</v>
      </c>
      <c r="B11" s="1" t="s">
        <v>771</v>
      </c>
    </row>
    <row r="12" spans="1:4" x14ac:dyDescent="0.25">
      <c r="A12" s="1">
        <f t="shared" si="0"/>
        <v>11</v>
      </c>
      <c r="B12" s="1" t="s">
        <v>722</v>
      </c>
    </row>
    <row r="13" spans="1:4" x14ac:dyDescent="0.25">
      <c r="A13" s="1">
        <f t="shared" si="0"/>
        <v>12</v>
      </c>
      <c r="B13" s="1" t="s">
        <v>962</v>
      </c>
      <c r="D13" s="1" t="s">
        <v>1900</v>
      </c>
    </row>
    <row r="14" spans="1:4" x14ac:dyDescent="0.25">
      <c r="A14" s="1">
        <f t="shared" si="0"/>
        <v>13</v>
      </c>
      <c r="B14" s="1" t="s">
        <v>971</v>
      </c>
    </row>
    <row r="15" spans="1:4" x14ac:dyDescent="0.25">
      <c r="A15" s="1">
        <f t="shared" si="0"/>
        <v>14</v>
      </c>
      <c r="B15" s="1" t="s">
        <v>1861</v>
      </c>
      <c r="D15" s="1" t="s">
        <v>1929</v>
      </c>
    </row>
    <row r="16" spans="1:4" x14ac:dyDescent="0.25">
      <c r="A16" s="1">
        <f t="shared" si="0"/>
        <v>15</v>
      </c>
      <c r="B16" s="1" t="s">
        <v>986</v>
      </c>
    </row>
    <row r="17" spans="1:4" x14ac:dyDescent="0.25">
      <c r="A17" s="1">
        <f t="shared" si="0"/>
        <v>16</v>
      </c>
      <c r="B17" s="1" t="s">
        <v>993</v>
      </c>
      <c r="D17" s="1" t="s">
        <v>1930</v>
      </c>
    </row>
    <row r="18" spans="1:4" x14ac:dyDescent="0.25">
      <c r="A18" s="1">
        <f t="shared" si="0"/>
        <v>17</v>
      </c>
      <c r="B18" s="1" t="s">
        <v>1005</v>
      </c>
    </row>
    <row r="19" spans="1:4" x14ac:dyDescent="0.25">
      <c r="A19" s="1">
        <f t="shared" si="0"/>
        <v>18</v>
      </c>
      <c r="B19" s="1" t="s">
        <v>1862</v>
      </c>
    </row>
    <row r="20" spans="1:4" x14ac:dyDescent="0.25">
      <c r="A20" s="1">
        <f t="shared" si="0"/>
        <v>19</v>
      </c>
      <c r="B20" s="1" t="s">
        <v>406</v>
      </c>
    </row>
    <row r="21" spans="1:4" x14ac:dyDescent="0.25">
      <c r="A21" s="1">
        <f t="shared" si="0"/>
        <v>20</v>
      </c>
      <c r="B21" s="1" t="s">
        <v>1044</v>
      </c>
    </row>
    <row r="22" spans="1:4" x14ac:dyDescent="0.25">
      <c r="A22" s="1">
        <f t="shared" si="0"/>
        <v>21</v>
      </c>
      <c r="B22" s="1" t="s">
        <v>1081</v>
      </c>
    </row>
    <row r="23" spans="1:4" x14ac:dyDescent="0.25">
      <c r="A23" s="1">
        <f t="shared" si="0"/>
        <v>22</v>
      </c>
      <c r="B23" s="1" t="s">
        <v>1922</v>
      </c>
    </row>
    <row r="24" spans="1:4" x14ac:dyDescent="0.25">
      <c r="A24" s="1">
        <f t="shared" si="0"/>
        <v>23</v>
      </c>
      <c r="B24" s="1" t="s">
        <v>1123</v>
      </c>
    </row>
    <row r="25" spans="1:4" x14ac:dyDescent="0.25">
      <c r="A25" s="1">
        <f t="shared" si="0"/>
        <v>24</v>
      </c>
      <c r="B25" s="1" t="s">
        <v>1180</v>
      </c>
    </row>
    <row r="27" spans="1:4" x14ac:dyDescent="0.25">
      <c r="B27" s="286">
        <v>2025</v>
      </c>
    </row>
    <row r="28" spans="1:4" x14ac:dyDescent="0.25">
      <c r="B28" s="1" t="s">
        <v>1236</v>
      </c>
    </row>
    <row r="29" spans="1:4" x14ac:dyDescent="0.25">
      <c r="A29" s="1">
        <v>1</v>
      </c>
      <c r="B29" s="1" t="s">
        <v>1258</v>
      </c>
    </row>
    <row r="30" spans="1:4" x14ac:dyDescent="0.25">
      <c r="A30" s="1">
        <f>A29+1</f>
        <v>2</v>
      </c>
      <c r="B30" s="1" t="s">
        <v>1266</v>
      </c>
    </row>
    <row r="31" spans="1:4" x14ac:dyDescent="0.25">
      <c r="A31" s="1">
        <f t="shared" ref="A31:A49" si="1">A30+1</f>
        <v>3</v>
      </c>
      <c r="B31" s="1" t="s">
        <v>1277</v>
      </c>
    </row>
    <row r="32" spans="1:4" x14ac:dyDescent="0.25">
      <c r="A32" s="1">
        <f t="shared" si="1"/>
        <v>4</v>
      </c>
      <c r="B32" s="1" t="s">
        <v>1271</v>
      </c>
    </row>
    <row r="33" spans="1:3" x14ac:dyDescent="0.25">
      <c r="A33" s="1">
        <f t="shared" si="1"/>
        <v>5</v>
      </c>
      <c r="B33" s="1" t="s">
        <v>1295</v>
      </c>
    </row>
    <row r="34" spans="1:3" x14ac:dyDescent="0.25">
      <c r="A34" s="1">
        <f t="shared" si="1"/>
        <v>6</v>
      </c>
      <c r="B34" s="1" t="s">
        <v>1290</v>
      </c>
    </row>
    <row r="35" spans="1:3" x14ac:dyDescent="0.25">
      <c r="A35" s="1">
        <f t="shared" si="1"/>
        <v>7</v>
      </c>
      <c r="B35" s="1" t="s">
        <v>1287</v>
      </c>
    </row>
    <row r="36" spans="1:3" ht="41.4" x14ac:dyDescent="0.25">
      <c r="A36" s="1">
        <f t="shared" si="1"/>
        <v>8</v>
      </c>
      <c r="B36" s="291" t="s">
        <v>1281</v>
      </c>
    </row>
    <row r="37" spans="1:3" x14ac:dyDescent="0.25">
      <c r="A37" s="1">
        <f t="shared" si="1"/>
        <v>9</v>
      </c>
      <c r="B37" s="1" t="s">
        <v>1334</v>
      </c>
    </row>
    <row r="38" spans="1:3" x14ac:dyDescent="0.25">
      <c r="A38" s="1">
        <f t="shared" si="1"/>
        <v>10</v>
      </c>
      <c r="B38" s="1" t="s">
        <v>1341</v>
      </c>
    </row>
    <row r="39" spans="1:3" x14ac:dyDescent="0.25">
      <c r="A39" s="1">
        <f t="shared" si="1"/>
        <v>11</v>
      </c>
      <c r="B39" s="1" t="s">
        <v>1345</v>
      </c>
    </row>
    <row r="40" spans="1:3" x14ac:dyDescent="0.25">
      <c r="A40" s="1">
        <f t="shared" si="1"/>
        <v>12</v>
      </c>
      <c r="B40" s="1" t="s">
        <v>1373</v>
      </c>
      <c r="C40" s="1" t="s">
        <v>1926</v>
      </c>
    </row>
    <row r="41" spans="1:3" x14ac:dyDescent="0.25">
      <c r="A41" s="1">
        <f t="shared" si="1"/>
        <v>13</v>
      </c>
      <c r="B41" s="1" t="s">
        <v>1445</v>
      </c>
    </row>
    <row r="42" spans="1:3" x14ac:dyDescent="0.25">
      <c r="A42" s="1">
        <f t="shared" si="1"/>
        <v>14</v>
      </c>
      <c r="B42" s="1" t="s">
        <v>1923</v>
      </c>
    </row>
    <row r="43" spans="1:3" x14ac:dyDescent="0.25">
      <c r="A43" s="1">
        <f t="shared" si="1"/>
        <v>15</v>
      </c>
      <c r="B43" s="1" t="s">
        <v>1924</v>
      </c>
    </row>
    <row r="44" spans="1:3" x14ac:dyDescent="0.25">
      <c r="A44" s="1">
        <f t="shared" si="1"/>
        <v>16</v>
      </c>
      <c r="B44" s="1" t="s">
        <v>1609</v>
      </c>
      <c r="C44" s="1" t="s">
        <v>1925</v>
      </c>
    </row>
    <row r="45" spans="1:3" x14ac:dyDescent="0.25">
      <c r="A45" s="1">
        <f t="shared" si="1"/>
        <v>17</v>
      </c>
      <c r="B45" s="1" t="s">
        <v>1624</v>
      </c>
    </row>
    <row r="46" spans="1:3" x14ac:dyDescent="0.25">
      <c r="A46" s="1">
        <f t="shared" si="1"/>
        <v>18</v>
      </c>
      <c r="B46" s="1" t="s">
        <v>1927</v>
      </c>
    </row>
    <row r="47" spans="1:3" x14ac:dyDescent="0.25">
      <c r="A47" s="1">
        <f t="shared" si="1"/>
        <v>19</v>
      </c>
      <c r="B47" s="1" t="s">
        <v>1628</v>
      </c>
      <c r="C47" s="1" t="s">
        <v>1899</v>
      </c>
    </row>
    <row r="48" spans="1:3" x14ac:dyDescent="0.25">
      <c r="A48" s="1">
        <f t="shared" si="1"/>
        <v>20</v>
      </c>
      <c r="B48" s="1" t="s">
        <v>1720</v>
      </c>
      <c r="C48" s="1" t="s">
        <v>1898</v>
      </c>
    </row>
    <row r="49" spans="1:3" x14ac:dyDescent="0.25">
      <c r="A49" s="1">
        <f t="shared" si="1"/>
        <v>21</v>
      </c>
      <c r="B49" s="1" t="s">
        <v>1749</v>
      </c>
      <c r="C49" s="1" t="s">
        <v>1897</v>
      </c>
    </row>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02FDD-7E76-4BDC-8CD7-0A1879892CE6}">
  <dimension ref="A4:C18"/>
  <sheetViews>
    <sheetView workbookViewId="0">
      <selection activeCell="A4" sqref="A4"/>
    </sheetView>
  </sheetViews>
  <sheetFormatPr defaultRowHeight="14.4" x14ac:dyDescent="0.3"/>
  <cols>
    <col min="1" max="1" width="27.21875" customWidth="1"/>
    <col min="2" max="2" width="22.33203125" customWidth="1"/>
  </cols>
  <sheetData>
    <row r="4" spans="1:3" x14ac:dyDescent="0.3">
      <c r="A4" t="s">
        <v>2198</v>
      </c>
      <c r="B4" t="s">
        <v>2201</v>
      </c>
    </row>
    <row r="5" spans="1:3" x14ac:dyDescent="0.3">
      <c r="A5" t="s">
        <v>2199</v>
      </c>
      <c r="B5" t="s">
        <v>2200</v>
      </c>
    </row>
    <row r="6" spans="1:3" x14ac:dyDescent="0.3">
      <c r="A6" t="s">
        <v>2205</v>
      </c>
    </row>
    <row r="7" spans="1:3" x14ac:dyDescent="0.3">
      <c r="A7" t="s">
        <v>2202</v>
      </c>
    </row>
    <row r="8" spans="1:3" x14ac:dyDescent="0.3">
      <c r="A8" t="s">
        <v>2203</v>
      </c>
    </row>
    <row r="9" spans="1:3" x14ac:dyDescent="0.3">
      <c r="A9" t="s">
        <v>2204</v>
      </c>
    </row>
    <row r="10" spans="1:3" x14ac:dyDescent="0.3">
      <c r="A10" t="s">
        <v>2208</v>
      </c>
      <c r="B10" t="s">
        <v>1374</v>
      </c>
    </row>
    <row r="11" spans="1:3" x14ac:dyDescent="0.3">
      <c r="A11" t="s">
        <v>2206</v>
      </c>
    </row>
    <row r="12" spans="1:3" x14ac:dyDescent="0.3">
      <c r="A12" t="s">
        <v>2207</v>
      </c>
    </row>
    <row r="13" spans="1:3" x14ac:dyDescent="0.3">
      <c r="A13" t="s">
        <v>2209</v>
      </c>
      <c r="B13" t="s">
        <v>2210</v>
      </c>
      <c r="C13" s="304" t="s">
        <v>2211</v>
      </c>
    </row>
    <row r="14" spans="1:3" x14ac:dyDescent="0.3">
      <c r="A14" s="305">
        <v>11</v>
      </c>
    </row>
    <row r="15" spans="1:3" x14ac:dyDescent="0.3">
      <c r="A15" s="305">
        <v>12</v>
      </c>
    </row>
    <row r="16" spans="1:3" x14ac:dyDescent="0.3">
      <c r="A16" s="305">
        <v>13</v>
      </c>
    </row>
    <row r="17" spans="1:1" x14ac:dyDescent="0.3">
      <c r="A17" s="305">
        <v>14</v>
      </c>
    </row>
    <row r="18" spans="1:1" x14ac:dyDescent="0.3">
      <c r="A18" s="305">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4</vt:i4>
      </vt:variant>
    </vt:vector>
  </HeadingPairs>
  <TitlesOfParts>
    <vt:vector size="13" baseType="lpstr">
      <vt:lpstr>Отчеты 2026</vt:lpstr>
      <vt:lpstr>Отчеты 2025</vt:lpstr>
      <vt:lpstr>Самара застройщики</vt:lpstr>
      <vt:lpstr>Отчеты 2024 год</vt:lpstr>
      <vt:lpstr>по прошлым</vt:lpstr>
      <vt:lpstr>ДОГОВОР</vt:lpstr>
      <vt:lpstr>Подрядчики Ульяновск</vt:lpstr>
      <vt:lpstr>Лист1</vt:lpstr>
      <vt:lpstr>Лист2</vt:lpstr>
      <vt:lpstr>ДОГОВОР!Область_печати</vt:lpstr>
      <vt:lpstr>'Отчеты 2024 год'!Область_печати</vt:lpstr>
      <vt:lpstr>'по прошлым'!Область_печати</vt:lpstr>
      <vt:lpstr>'Самара застройщики'!Область_печати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gas premium</dc:creator>
  <cp:lastModifiedBy>gas premium</cp:lastModifiedBy>
  <cp:lastPrinted>2025-06-27T09:56:08Z</cp:lastPrinted>
  <dcterms:created xsi:type="dcterms:W3CDTF">2024-02-19T10:53:20Z</dcterms:created>
  <dcterms:modified xsi:type="dcterms:W3CDTF">2026-03-03T06:47:38Z</dcterms:modified>
</cp:coreProperties>
</file>